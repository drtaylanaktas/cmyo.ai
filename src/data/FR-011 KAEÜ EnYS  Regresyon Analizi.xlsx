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8_{E0EBB27B-45EA-446E-81BE-19DC80DD0AAD}" xr6:coauthVersionLast="47" xr6:coauthVersionMax="47" xr10:uidLastSave="{00000000-0000-0000-0000-000000000000}"/>
  <bookViews>
    <workbookView xWindow="-120" yWindow="-120" windowWidth="21840" windowHeight="13290" firstSheet="1" activeTab="1" xr2:uid="{00000000-000D-0000-FFFF-FFFF00000000}"/>
  </bookViews>
  <sheets>
    <sheet name="Sayfa6" sheetId="6" state="hidden" r:id="rId1"/>
    <sheet name="Doğalgaz" sheetId="3" r:id="rId2"/>
    <sheet name="Elektrik1" sheetId="31" r:id="rId3"/>
    <sheet name="Elektrik2" sheetId="32" r:id="rId4"/>
  </sheets>
  <definedNames>
    <definedName name="_xlnm.Print_Area" localSheetId="1">Doğalgaz!$A$1:$U$59</definedName>
    <definedName name="_xlnm.Print_Area" localSheetId="3">Elektrik2!$A$1:$U$57</definedName>
  </definedNames>
  <calcPr calcId="181029"/>
</workbook>
</file>

<file path=xl/calcChain.xml><?xml version="1.0" encoding="utf-8"?>
<calcChain xmlns="http://schemas.openxmlformats.org/spreadsheetml/2006/main">
  <c r="B55" i="32" l="1"/>
  <c r="H54" i="32"/>
  <c r="F54" i="32"/>
  <c r="H53" i="32"/>
  <c r="F53" i="32"/>
  <c r="H52" i="32"/>
  <c r="F52" i="32"/>
  <c r="H51" i="32"/>
  <c r="F51" i="32"/>
  <c r="H50" i="32"/>
  <c r="F50" i="32"/>
  <c r="H49" i="32"/>
  <c r="F49" i="32"/>
  <c r="H48" i="32"/>
  <c r="F48" i="32"/>
  <c r="H47" i="32"/>
  <c r="F47" i="32"/>
  <c r="H46" i="32"/>
  <c r="F46" i="32"/>
  <c r="H45" i="32"/>
  <c r="F45" i="32"/>
  <c r="H44" i="32"/>
  <c r="F44" i="32"/>
  <c r="H43" i="32"/>
  <c r="F43" i="32"/>
  <c r="H42" i="32"/>
  <c r="G42" i="32"/>
  <c r="F42" i="32"/>
  <c r="G54" i="32" l="1"/>
  <c r="I54" i="32" s="1"/>
  <c r="G45" i="32"/>
  <c r="I45" i="32" s="1"/>
  <c r="M45" i="32" s="1"/>
  <c r="G46" i="32"/>
  <c r="I46" i="32" s="1"/>
  <c r="E46" i="32" s="1"/>
  <c r="G47" i="32"/>
  <c r="I47" i="32" s="1"/>
  <c r="G50" i="32"/>
  <c r="I50" i="32" s="1"/>
  <c r="G48" i="32"/>
  <c r="I48" i="32" s="1"/>
  <c r="G43" i="32"/>
  <c r="I43" i="32" s="1"/>
  <c r="G51" i="32"/>
  <c r="I51" i="32" s="1"/>
  <c r="G44" i="32"/>
  <c r="I44" i="32" s="1"/>
  <c r="G52" i="32"/>
  <c r="I52" i="32" s="1"/>
  <c r="G53" i="32"/>
  <c r="I53" i="32" s="1"/>
  <c r="G49" i="32"/>
  <c r="I49" i="32" s="1"/>
  <c r="M54" i="32" l="1"/>
  <c r="J54" i="32"/>
  <c r="K54" i="32" s="1"/>
  <c r="E54" i="32"/>
  <c r="E45" i="32"/>
  <c r="J45" i="32"/>
  <c r="K45" i="32" s="1"/>
  <c r="M46" i="32"/>
  <c r="J46" i="32"/>
  <c r="K46" i="32" s="1"/>
  <c r="E49" i="32"/>
  <c r="J49" i="32"/>
  <c r="M49" i="32"/>
  <c r="M47" i="32"/>
  <c r="E47" i="32"/>
  <c r="J47" i="32"/>
  <c r="E48" i="32"/>
  <c r="J48" i="32"/>
  <c r="M48" i="32"/>
  <c r="E50" i="32"/>
  <c r="J50" i="32"/>
  <c r="M50" i="32"/>
  <c r="J52" i="32"/>
  <c r="M52" i="32"/>
  <c r="E52" i="32"/>
  <c r="M43" i="32"/>
  <c r="E43" i="32"/>
  <c r="J43" i="32"/>
  <c r="I55" i="32"/>
  <c r="J44" i="32"/>
  <c r="M44" i="32"/>
  <c r="E44" i="32"/>
  <c r="M51" i="32"/>
  <c r="E51" i="32"/>
  <c r="J51" i="32"/>
  <c r="J53" i="32"/>
  <c r="E53" i="32"/>
  <c r="M53" i="32"/>
  <c r="K44" i="32" l="1"/>
  <c r="K52" i="32"/>
  <c r="K48" i="32"/>
  <c r="K53" i="32"/>
  <c r="K49" i="32"/>
  <c r="K51" i="32"/>
  <c r="J55" i="32"/>
  <c r="L43" i="32"/>
  <c r="L44" i="32" s="1"/>
  <c r="L45" i="32" s="1"/>
  <c r="L46" i="32" s="1"/>
  <c r="L47" i="32" s="1"/>
  <c r="L48" i="32" s="1"/>
  <c r="L49" i="32" s="1"/>
  <c r="L50" i="32" s="1"/>
  <c r="L51" i="32" s="1"/>
  <c r="L52" i="32" s="1"/>
  <c r="L53" i="32" s="1"/>
  <c r="L54" i="32" s="1"/>
  <c r="K43" i="32"/>
  <c r="E55" i="32"/>
  <c r="K47" i="32"/>
  <c r="K50" i="32"/>
  <c r="K55" i="32" l="1"/>
  <c r="B57" i="31" l="1"/>
  <c r="H56" i="31"/>
  <c r="F56" i="31"/>
  <c r="H55" i="31"/>
  <c r="F55" i="31"/>
  <c r="H54" i="31"/>
  <c r="F54" i="31"/>
  <c r="H53" i="31"/>
  <c r="F53" i="31"/>
  <c r="H52" i="31"/>
  <c r="F52" i="31"/>
  <c r="H51" i="31"/>
  <c r="F51" i="31"/>
  <c r="H50" i="31"/>
  <c r="F50" i="31"/>
  <c r="H49" i="31"/>
  <c r="F49" i="31"/>
  <c r="H48" i="31"/>
  <c r="F48" i="31"/>
  <c r="H47" i="31"/>
  <c r="F47" i="31"/>
  <c r="H46" i="31"/>
  <c r="F46" i="31"/>
  <c r="H45" i="31"/>
  <c r="F45" i="31"/>
  <c r="H44" i="31"/>
  <c r="G44" i="31"/>
  <c r="F44" i="31"/>
  <c r="G49" i="31" l="1"/>
  <c r="I49" i="31" s="1"/>
  <c r="M49" i="31" s="1"/>
  <c r="G50" i="31"/>
  <c r="I50" i="31" s="1"/>
  <c r="M50" i="31" s="1"/>
  <c r="G52" i="31"/>
  <c r="I52" i="31" s="1"/>
  <c r="M52" i="31" s="1"/>
  <c r="G53" i="31"/>
  <c r="I53" i="31" s="1"/>
  <c r="M53" i="31" s="1"/>
  <c r="G45" i="31"/>
  <c r="I45" i="31" s="1"/>
  <c r="M45" i="31" s="1"/>
  <c r="G46" i="31"/>
  <c r="I46" i="31" s="1"/>
  <c r="M46" i="31" s="1"/>
  <c r="G54" i="31"/>
  <c r="I54" i="31" s="1"/>
  <c r="M54" i="31" s="1"/>
  <c r="G51" i="31"/>
  <c r="I51" i="31" s="1"/>
  <c r="M51" i="31" s="1"/>
  <c r="G47" i="31"/>
  <c r="I47" i="31" s="1"/>
  <c r="M47" i="31" s="1"/>
  <c r="G55" i="31"/>
  <c r="I55" i="31" s="1"/>
  <c r="M55" i="31" s="1"/>
  <c r="G48" i="31"/>
  <c r="I48" i="31" s="1"/>
  <c r="M48" i="31" s="1"/>
  <c r="G56" i="31"/>
  <c r="I56" i="31" s="1"/>
  <c r="M56" i="31" s="1"/>
  <c r="J49" i="31" l="1"/>
  <c r="J51" i="31"/>
  <c r="J54" i="31"/>
  <c r="J52" i="31"/>
  <c r="J46" i="31"/>
  <c r="J45" i="31"/>
  <c r="L45" i="31" s="1"/>
  <c r="I57" i="31"/>
  <c r="J48" i="31"/>
  <c r="J55" i="31"/>
  <c r="J47" i="31"/>
  <c r="J56" i="31"/>
  <c r="J53" i="31"/>
  <c r="J50" i="31"/>
  <c r="L46" i="31" l="1"/>
  <c r="L47" i="31" s="1"/>
  <c r="L48" i="31" s="1"/>
  <c r="L49" i="31" s="1"/>
  <c r="L50" i="31" s="1"/>
  <c r="L51" i="31" s="1"/>
  <c r="L52" i="31" s="1"/>
  <c r="L53" i="31" s="1"/>
  <c r="L54" i="31" s="1"/>
  <c r="L55" i="31" s="1"/>
  <c r="L56" i="31" s="1"/>
  <c r="K46" i="31"/>
  <c r="E57" i="31"/>
  <c r="K49" i="31"/>
  <c r="K53" i="31"/>
  <c r="J57" i="31"/>
  <c r="K45" i="31"/>
  <c r="K52" i="31"/>
  <c r="K47" i="31"/>
  <c r="K50" i="31"/>
  <c r="K55" i="31"/>
  <c r="K48" i="31"/>
  <c r="K51" i="31"/>
  <c r="K56" i="31"/>
  <c r="K54" i="31"/>
  <c r="K57" i="31" l="1"/>
  <c r="F45" i="3" l="1"/>
  <c r="H44" i="3" l="1"/>
  <c r="G44" i="3"/>
  <c r="G49" i="3" s="1"/>
  <c r="F44" i="3"/>
  <c r="G54" i="3" l="1"/>
  <c r="G55" i="3"/>
  <c r="G53" i="3"/>
  <c r="G52" i="3"/>
  <c r="G46" i="3"/>
  <c r="G50" i="3"/>
  <c r="G45" i="3"/>
  <c r="G47" i="3"/>
  <c r="G56" i="3"/>
  <c r="G48" i="3"/>
  <c r="G51" i="3"/>
  <c r="H46" i="3" l="1"/>
  <c r="H47" i="3"/>
  <c r="H48" i="3"/>
  <c r="H49" i="3"/>
  <c r="H50" i="3"/>
  <c r="H51" i="3"/>
  <c r="H52" i="3"/>
  <c r="H53" i="3"/>
  <c r="H54" i="3"/>
  <c r="H55" i="3"/>
  <c r="H56" i="3"/>
  <c r="H45" i="3"/>
  <c r="F46" i="3"/>
  <c r="F47" i="3"/>
  <c r="F48" i="3"/>
  <c r="F49" i="3"/>
  <c r="F50" i="3"/>
  <c r="F51" i="3"/>
  <c r="F52" i="3"/>
  <c r="F53" i="3"/>
  <c r="F54" i="3"/>
  <c r="F55" i="3"/>
  <c r="F56" i="3"/>
  <c r="B57" i="3"/>
  <c r="I56" i="3" l="1"/>
  <c r="I48" i="3"/>
  <c r="I47" i="3"/>
  <c r="I49" i="3"/>
  <c r="I54" i="3"/>
  <c r="I46" i="3"/>
  <c r="I50" i="3"/>
  <c r="I55" i="3"/>
  <c r="I53" i="3"/>
  <c r="I45" i="3"/>
  <c r="I52" i="3"/>
  <c r="I51" i="3"/>
  <c r="J50" i="3" l="1"/>
  <c r="K50" i="3" s="1"/>
  <c r="E50" i="3"/>
  <c r="M50" i="3"/>
  <c r="M46" i="3"/>
  <c r="J46" i="3"/>
  <c r="E46" i="3"/>
  <c r="E51" i="3"/>
  <c r="J51" i="3"/>
  <c r="K51" i="3" s="1"/>
  <c r="M51" i="3"/>
  <c r="E49" i="3"/>
  <c r="M49" i="3"/>
  <c r="J49" i="3"/>
  <c r="K49" i="3" s="1"/>
  <c r="M52" i="3"/>
  <c r="J52" i="3"/>
  <c r="K52" i="3" s="1"/>
  <c r="E52" i="3"/>
  <c r="E47" i="3"/>
  <c r="M47" i="3"/>
  <c r="J47" i="3"/>
  <c r="E55" i="3"/>
  <c r="M55" i="3"/>
  <c r="J55" i="3"/>
  <c r="M54" i="3"/>
  <c r="J54" i="3"/>
  <c r="E54" i="3"/>
  <c r="E45" i="3"/>
  <c r="J45" i="3"/>
  <c r="L45" i="3" s="1"/>
  <c r="M45" i="3"/>
  <c r="E48" i="3"/>
  <c r="M48" i="3"/>
  <c r="J48" i="3"/>
  <c r="K48" i="3" s="1"/>
  <c r="M53" i="3"/>
  <c r="J53" i="3"/>
  <c r="E53" i="3"/>
  <c r="E56" i="3"/>
  <c r="M56" i="3"/>
  <c r="J56" i="3"/>
  <c r="K56" i="3" s="1"/>
  <c r="K55" i="3"/>
  <c r="K47" i="3"/>
  <c r="I57" i="3"/>
  <c r="K45" i="3" l="1"/>
  <c r="J57" i="3"/>
  <c r="K53" i="3"/>
  <c r="K54" i="3"/>
  <c r="K46" i="3"/>
  <c r="E57" i="3"/>
  <c r="L46" i="3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K57" i="3" l="1"/>
</calcChain>
</file>

<file path=xl/sharedStrings.xml><?xml version="1.0" encoding="utf-8"?>
<sst xmlns="http://schemas.openxmlformats.org/spreadsheetml/2006/main" count="331" uniqueCount="78">
  <si>
    <t>Total</t>
  </si>
  <si>
    <t xml:space="preserve">Ocak </t>
  </si>
  <si>
    <t xml:space="preserve">Şubat 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</si>
  <si>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</si>
  <si>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</si>
  <si>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</si>
  <si>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</si>
  <si>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</si>
  <si>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</si>
  <si>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</si>
  <si>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</si>
  <si>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</si>
  <si>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</si>
  <si>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 xml:space="preserve">HDD </t>
  </si>
  <si>
    <t xml:space="preserve">Baseline Dönemi </t>
  </si>
  <si>
    <t xml:space="preserve">Toplam </t>
  </si>
  <si>
    <t>ÖZET ÇIKIŞI</t>
  </si>
  <si>
    <t>Regresyon İstatistikleri</t>
  </si>
  <si>
    <t>Çoklu R</t>
  </si>
  <si>
    <t>R Kare</t>
  </si>
  <si>
    <t>Ayarlı R Kare</t>
  </si>
  <si>
    <t>Standart Hata</t>
  </si>
  <si>
    <t>Gözlem</t>
  </si>
  <si>
    <t>ANOVA</t>
  </si>
  <si>
    <t>Regresyon</t>
  </si>
  <si>
    <t>Fark</t>
  </si>
  <si>
    <t>Toplam</t>
  </si>
  <si>
    <t>Kesişim</t>
  </si>
  <si>
    <t>df</t>
  </si>
  <si>
    <t>SS</t>
  </si>
  <si>
    <t>MS</t>
  </si>
  <si>
    <t>F</t>
  </si>
  <si>
    <t>Anlamlılık F</t>
  </si>
  <si>
    <t>Katsayılar</t>
  </si>
  <si>
    <t>t Stat</t>
  </si>
  <si>
    <t>P-değeri</t>
  </si>
  <si>
    <t>Düşük %95</t>
  </si>
  <si>
    <t>Yüksek %95</t>
  </si>
  <si>
    <t>Düşük 95,0%</t>
  </si>
  <si>
    <t>Yüksek 95,0%</t>
  </si>
  <si>
    <t>X Değişkeni 1</t>
  </si>
  <si>
    <t>Value</t>
  </si>
  <si>
    <t>Factors</t>
  </si>
  <si>
    <t>Düzenlenmiş Baseline Verileri</t>
  </si>
  <si>
    <t xml:space="preserve">Kesişim </t>
  </si>
  <si>
    <t>Gas (KWH)</t>
  </si>
  <si>
    <t>Birim F. =</t>
  </si>
  <si>
    <t xml:space="preserve">Kazançlar </t>
  </si>
  <si>
    <t>Doğalgaz Tük.</t>
  </si>
  <si>
    <t>Kwh</t>
  </si>
  <si>
    <t>Hedef</t>
  </si>
  <si>
    <t>Raporlama Dönemi</t>
  </si>
  <si>
    <t xml:space="preserve">CUSUM </t>
  </si>
  <si>
    <t>Doğalgaz kwh</t>
  </si>
  <si>
    <t xml:space="preserve">Fatura Dönemleri
</t>
  </si>
  <si>
    <t>Yıllar</t>
  </si>
  <si>
    <t>Kapalı alan m2</t>
  </si>
  <si>
    <t>HDD</t>
  </si>
  <si>
    <t>ALAN M2</t>
  </si>
  <si>
    <t>ORAN</t>
  </si>
  <si>
    <t>ENERJİ YOĞUNLUK ENDEKSİ</t>
  </si>
  <si>
    <t>Elektrik kwh</t>
  </si>
  <si>
    <t xml:space="preserve">CDD </t>
  </si>
  <si>
    <t>CDD</t>
  </si>
  <si>
    <t xml:space="preserve"> (KWH)</t>
  </si>
  <si>
    <t>Elektrik Tük.</t>
  </si>
  <si>
    <t>Elektrik (KWH)</t>
  </si>
  <si>
    <t>Fatura Dönemleri
20…</t>
  </si>
  <si>
    <t>Doküman No</t>
  </si>
  <si>
    <t>İlk Yayın Tarihi</t>
  </si>
  <si>
    <t>Revizyon Tarihi</t>
  </si>
  <si>
    <t>Revizyon No</t>
  </si>
  <si>
    <t>Sayfa No</t>
  </si>
  <si>
    <t>1/1</t>
  </si>
  <si>
    <t>EnYS FR-011</t>
  </si>
  <si>
    <t>ELEKTRİK TÜKETİMİ REGRESYON ANALİZİ (HDD)</t>
  </si>
  <si>
    <t xml:space="preserve">DOĞALGAZ TÜKETİMİ REGRESYON ANALİZİ </t>
  </si>
  <si>
    <t>ELEKTRİK TÜKETİMİ REGRESYON ANALİZİ (CDD)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</si>
</sst>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₺&quot;_-;\-* #,##0.00\ &quot;₺&quot;_-;_-* &quot;-&quot;??\ &quot;₺&quot;_-;_-@_-"/>
    <numFmt numFmtId="165" formatCode="General_)"/>
    <numFmt numFmtId="166" formatCode="[$-1009]mmmm\ d\,\ yyyy;@"/>
    <numFmt numFmtId="167" formatCode="mmmm\ d\,\ yyyy"/>
    <numFmt numFmtId="168" formatCode="#,##0.0_ ;\-#,##0.0\ "/>
    <numFmt numFmtId="169" formatCode="_-* #,##0.00\ [$₺-41F]_-;\-* #,##0.00\ [$₺-41F]_-;_-* &quot;-&quot;??\ [$₺-41F]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color indexed="8"/>
      <name val="Times New Roman"/>
      <family val="1"/>
      <charset val="162"/>
    </font>
    <font>
      <sz val="12"/>
      <color indexed="8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i/>
      <sz val="12"/>
      <color indexed="8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1"/>
      <name val="Times New Roman"/>
      <family val="1"/>
      <charset val="162"/>
    </font>
    <font>
      <sz val="11"/>
      <name val="Times New Roman"/>
      <family val="1"/>
      <charset val="162"/>
    </font>
    <font>
      <sz val="11"/>
      <color theme="1"/>
      <name val="Times New Roman"/>
    </font>
    <font>
      <b/>
      <sz val="1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2">
    <xf numFmtId="0" fontId="0" fillId="0" borderId="0" xfId="0"/>
    <xf numFmtId="0" fontId="0" fillId="0" borderId="15" xfId="0" applyBorder="1"/>
    <xf numFmtId="0" fontId="3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0" xfId="0" applyFont="1"/>
    <xf numFmtId="166" fontId="6" fillId="0" borderId="12" xfId="0" applyNumberFormat="1" applyFont="1" applyBorder="1" applyAlignment="1" applyProtection="1">
      <alignment horizontal="left"/>
      <protection locked="0"/>
    </xf>
    <xf numFmtId="166" fontId="6" fillId="0" borderId="0" xfId="0" applyNumberFormat="1" applyFont="1" applyAlignment="1" applyProtection="1">
      <alignment horizontal="left"/>
      <protection locked="0"/>
    </xf>
    <xf numFmtId="37" fontId="6" fillId="0" borderId="0" xfId="0" applyNumberFormat="1" applyFont="1" applyAlignment="1" applyProtection="1">
      <alignment horizontal="center"/>
      <protection locked="0"/>
    </xf>
    <xf numFmtId="0" fontId="4" fillId="0" borderId="12" xfId="0" applyFont="1" applyBorder="1"/>
    <xf numFmtId="3" fontId="4" fillId="0" borderId="12" xfId="0" applyNumberFormat="1" applyFont="1" applyBorder="1"/>
    <xf numFmtId="37" fontId="4" fillId="0" borderId="12" xfId="0" applyNumberFormat="1" applyFont="1" applyBorder="1"/>
    <xf numFmtId="166" fontId="2" fillId="0" borderId="0" xfId="0" applyNumberFormat="1" applyFont="1" applyAlignment="1" applyProtection="1">
      <alignment horizontal="left"/>
      <protection locked="0"/>
    </xf>
    <xf numFmtId="37" fontId="2" fillId="0" borderId="0" xfId="0" applyNumberFormat="1" applyFont="1" applyAlignment="1" applyProtection="1">
      <alignment horizontal="center"/>
      <protection locked="0"/>
    </xf>
    <xf numFmtId="3" fontId="4" fillId="0" borderId="12" xfId="0" applyNumberFormat="1" applyFont="1" applyBorder="1" applyAlignment="1">
      <alignment horizontal="right" vertical="center"/>
    </xf>
    <xf numFmtId="3" fontId="6" fillId="0" borderId="12" xfId="0" applyNumberFormat="1" applyFont="1" applyBorder="1" applyAlignment="1" applyProtection="1">
      <alignment horizontal="right" vertical="center"/>
      <protection locked="0"/>
    </xf>
    <xf numFmtId="0" fontId="8" fillId="0" borderId="18" xfId="0" applyFont="1" applyBorder="1" applyAlignment="1">
      <alignment vertical="center" wrapText="1"/>
    </xf>
    <xf numFmtId="0" fontId="5" fillId="0" borderId="19" xfId="0" applyFont="1" applyBorder="1" applyAlignment="1">
      <alignment horizontal="centerContinuous"/>
    </xf>
    <xf numFmtId="0" fontId="6" fillId="0" borderId="12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8" fillId="0" borderId="0" xfId="0" applyFont="1" applyAlignment="1">
      <alignment vertical="center" wrapText="1"/>
    </xf>
    <xf numFmtId="0" fontId="8" fillId="0" borderId="23" xfId="0" applyFont="1" applyBorder="1" applyAlignment="1">
      <alignment vertical="center" wrapText="1"/>
    </xf>
    <xf numFmtId="165" fontId="5" fillId="0" borderId="13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5" fontId="6" fillId="0" borderId="18" xfId="0" applyNumberFormat="1" applyFont="1" applyBorder="1" applyAlignment="1">
      <alignment horizontal="center" vertical="center" wrapText="1"/>
    </xf>
    <xf numFmtId="165" fontId="9" fillId="0" borderId="19" xfId="0" applyNumberFormat="1" applyFont="1" applyBorder="1" applyAlignment="1">
      <alignment horizontal="centerContinuous"/>
    </xf>
    <xf numFmtId="165" fontId="9" fillId="0" borderId="12" xfId="0" applyNumberFormat="1" applyFont="1" applyBorder="1" applyAlignment="1">
      <alignment horizontal="centerContinuous"/>
    </xf>
    <xf numFmtId="165" fontId="9" fillId="0" borderId="2" xfId="0" applyNumberFormat="1" applyFont="1" applyBorder="1" applyAlignment="1">
      <alignment horizontal="left"/>
    </xf>
    <xf numFmtId="165" fontId="6" fillId="0" borderId="10" xfId="0" applyNumberFormat="1" applyFont="1" applyBorder="1" applyAlignment="1">
      <alignment horizontal="center"/>
    </xf>
    <xf numFmtId="165" fontId="6" fillId="0" borderId="23" xfId="0" applyNumberFormat="1" applyFont="1" applyBorder="1" applyAlignment="1">
      <alignment horizontal="center" vertical="center" wrapText="1"/>
    </xf>
    <xf numFmtId="37" fontId="9" fillId="2" borderId="19" xfId="0" applyNumberFormat="1" applyFont="1" applyFill="1" applyBorder="1" applyAlignment="1" applyProtection="1">
      <alignment horizontal="center"/>
      <protection locked="0"/>
    </xf>
    <xf numFmtId="168" fontId="9" fillId="2" borderId="12" xfId="0" applyNumberFormat="1" applyFont="1" applyFill="1" applyBorder="1" applyAlignment="1" applyProtection="1">
      <alignment horizontal="center"/>
      <protection locked="0"/>
    </xf>
    <xf numFmtId="169" fontId="9" fillId="0" borderId="7" xfId="1" applyNumberFormat="1" applyFont="1" applyBorder="1" applyAlignment="1" applyProtection="1">
      <alignment horizontal="left"/>
      <protection locked="0"/>
    </xf>
    <xf numFmtId="37" fontId="6" fillId="0" borderId="13" xfId="0" applyNumberFormat="1" applyFont="1" applyBorder="1" applyAlignment="1" applyProtection="1">
      <alignment horizontal="center"/>
      <protection locked="0"/>
    </xf>
    <xf numFmtId="37" fontId="6" fillId="0" borderId="16" xfId="0" applyNumberFormat="1" applyFont="1" applyBorder="1" applyAlignment="1" applyProtection="1">
      <alignment horizontal="center"/>
      <protection locked="0"/>
    </xf>
    <xf numFmtId="37" fontId="6" fillId="0" borderId="19" xfId="0" applyNumberFormat="1" applyFont="1" applyBorder="1" applyAlignment="1" applyProtection="1">
      <alignment horizontal="center"/>
      <protection locked="0"/>
    </xf>
    <xf numFmtId="169" fontId="6" fillId="0" borderId="13" xfId="1" applyNumberFormat="1" applyFont="1" applyBorder="1"/>
    <xf numFmtId="167" fontId="5" fillId="0" borderId="12" xfId="0" applyNumberFormat="1" applyFont="1" applyBorder="1" applyAlignment="1" applyProtection="1">
      <alignment horizontal="left"/>
      <protection locked="0"/>
    </xf>
    <xf numFmtId="37" fontId="5" fillId="0" borderId="12" xfId="0" applyNumberFormat="1" applyFont="1" applyBorder="1" applyAlignment="1" applyProtection="1">
      <alignment horizontal="center"/>
      <protection locked="0"/>
    </xf>
    <xf numFmtId="37" fontId="5" fillId="0" borderId="13" xfId="0" applyNumberFormat="1" applyFont="1" applyBorder="1" applyAlignment="1" applyProtection="1">
      <alignment horizontal="center"/>
      <protection locked="0"/>
    </xf>
    <xf numFmtId="37" fontId="5" fillId="0" borderId="16" xfId="0" applyNumberFormat="1" applyFont="1" applyBorder="1" applyAlignment="1" applyProtection="1">
      <alignment horizontal="center"/>
      <protection locked="0"/>
    </xf>
    <xf numFmtId="37" fontId="5" fillId="0" borderId="19" xfId="0" applyNumberFormat="1" applyFont="1" applyBorder="1" applyAlignment="1" applyProtection="1">
      <alignment horizontal="center"/>
      <protection locked="0"/>
    </xf>
    <xf numFmtId="169" fontId="5" fillId="0" borderId="13" xfId="1" applyNumberFormat="1" applyFont="1" applyBorder="1"/>
    <xf numFmtId="0" fontId="5" fillId="0" borderId="28" xfId="0" applyFont="1" applyBorder="1" applyAlignment="1">
      <alignment horizontal="centerContinuous"/>
    </xf>
    <xf numFmtId="165" fontId="9" fillId="0" borderId="28" xfId="0" applyNumberFormat="1" applyFont="1" applyBorder="1" applyAlignment="1">
      <alignment horizontal="centerContinuous"/>
    </xf>
    <xf numFmtId="37" fontId="9" fillId="2" borderId="28" xfId="0" applyNumberFormat="1" applyFont="1" applyFill="1" applyBorder="1" applyAlignment="1" applyProtection="1">
      <alignment horizontal="center"/>
      <protection locked="0"/>
    </xf>
    <xf numFmtId="37" fontId="9" fillId="0" borderId="19" xfId="0" applyNumberFormat="1" applyFont="1" applyBorder="1" applyAlignment="1" applyProtection="1">
      <alignment horizontal="center"/>
      <protection locked="0"/>
    </xf>
    <xf numFmtId="37" fontId="9" fillId="0" borderId="28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left"/>
      <protection locked="0"/>
    </xf>
    <xf numFmtId="37" fontId="5" fillId="0" borderId="0" xfId="0" applyNumberFormat="1" applyFont="1" applyAlignment="1" applyProtection="1">
      <alignment horizontal="center"/>
      <protection locked="0"/>
    </xf>
    <xf numFmtId="37" fontId="9" fillId="0" borderId="0" xfId="0" applyNumberFormat="1" applyFont="1" applyAlignment="1" applyProtection="1">
      <alignment horizontal="center"/>
      <protection locked="0"/>
    </xf>
    <xf numFmtId="169" fontId="5" fillId="0" borderId="0" xfId="1" applyNumberFormat="1" applyFont="1" applyBorder="1"/>
    <xf numFmtId="37" fontId="4" fillId="0" borderId="0" xfId="0" applyNumberFormat="1" applyFont="1"/>
    <xf numFmtId="3" fontId="4" fillId="0" borderId="0" xfId="0" applyNumberFormat="1" applyFont="1"/>
    <xf numFmtId="3" fontId="6" fillId="0" borderId="29" xfId="0" applyNumberFormat="1" applyFont="1" applyBorder="1" applyAlignment="1" applyProtection="1">
      <alignment horizontal="right" vertical="center"/>
      <protection locked="0"/>
    </xf>
    <xf numFmtId="3" fontId="6" fillId="0" borderId="30" xfId="0" applyNumberFormat="1" applyFont="1" applyBorder="1" applyAlignment="1" applyProtection="1">
      <alignment horizontal="right" vertical="center"/>
      <protection locked="0"/>
    </xf>
    <xf numFmtId="3" fontId="6" fillId="0" borderId="31" xfId="0" applyNumberFormat="1" applyFont="1" applyBorder="1" applyAlignment="1" applyProtection="1">
      <alignment horizontal="right" vertical="center"/>
      <protection locked="0"/>
    </xf>
    <xf numFmtId="3" fontId="6" fillId="0" borderId="32" xfId="0" applyNumberFormat="1" applyFont="1" applyBorder="1" applyAlignment="1" applyProtection="1">
      <alignment horizontal="right" vertical="center"/>
      <protection locked="0"/>
    </xf>
    <xf numFmtId="3" fontId="6" fillId="0" borderId="33" xfId="0" applyNumberFormat="1" applyFont="1" applyBorder="1" applyAlignment="1" applyProtection="1">
      <alignment horizontal="right" vertical="center"/>
      <protection locked="0"/>
    </xf>
    <xf numFmtId="3" fontId="4" fillId="0" borderId="29" xfId="0" applyNumberFormat="1" applyFont="1" applyBorder="1" applyAlignment="1">
      <alignment horizontal="right" vertical="center"/>
    </xf>
    <xf numFmtId="3" fontId="4" fillId="0" borderId="30" xfId="0" applyNumberFormat="1" applyFont="1" applyBorder="1" applyAlignment="1">
      <alignment horizontal="right" vertical="center"/>
    </xf>
    <xf numFmtId="3" fontId="4" fillId="0" borderId="31" xfId="0" applyNumberFormat="1" applyFont="1" applyBorder="1" applyAlignment="1">
      <alignment horizontal="right" vertical="center"/>
    </xf>
    <xf numFmtId="3" fontId="4" fillId="0" borderId="32" xfId="0" applyNumberFormat="1" applyFont="1" applyBorder="1" applyAlignment="1">
      <alignment horizontal="right" vertical="center"/>
    </xf>
    <xf numFmtId="3" fontId="4" fillId="0" borderId="33" xfId="0" applyNumberFormat="1" applyFont="1" applyBorder="1" applyAlignment="1">
      <alignment horizontal="right" vertical="center"/>
    </xf>
    <xf numFmtId="165" fontId="6" fillId="0" borderId="32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vertical="center"/>
    </xf>
    <xf numFmtId="165" fontId="6" fillId="0" borderId="35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right" vertical="center"/>
      <protection locked="0"/>
    </xf>
    <xf numFmtId="3" fontId="6" fillId="0" borderId="28" xfId="0" applyNumberFormat="1" applyFont="1" applyBorder="1" applyAlignment="1" applyProtection="1">
      <alignment horizontal="right" vertical="center"/>
      <protection locked="0"/>
    </xf>
    <xf numFmtId="3" fontId="6" fillId="0" borderId="35" xfId="0" applyNumberFormat="1" applyFont="1" applyBorder="1" applyAlignment="1" applyProtection="1">
      <alignment horizontal="right" vertical="center"/>
      <protection locked="0"/>
    </xf>
    <xf numFmtId="3" fontId="4" fillId="0" borderId="34" xfId="0" applyNumberFormat="1" applyFont="1" applyBorder="1" applyAlignment="1">
      <alignment horizontal="right" vertical="center"/>
    </xf>
    <xf numFmtId="3" fontId="4" fillId="0" borderId="28" xfId="0" applyNumberFormat="1" applyFont="1" applyBorder="1" applyAlignment="1">
      <alignment horizontal="right" vertical="center"/>
    </xf>
    <xf numFmtId="3" fontId="4" fillId="0" borderId="35" xfId="0" applyNumberFormat="1" applyFont="1" applyBorder="1" applyAlignment="1">
      <alignment horizontal="right" vertical="center"/>
    </xf>
    <xf numFmtId="166" fontId="6" fillId="0" borderId="38" xfId="0" applyNumberFormat="1" applyFont="1" applyBorder="1" applyAlignment="1" applyProtection="1">
      <alignment horizontal="left"/>
      <protection locked="0"/>
    </xf>
    <xf numFmtId="166" fontId="6" fillId="0" borderId="39" xfId="0" applyNumberFormat="1" applyFont="1" applyBorder="1" applyAlignment="1" applyProtection="1">
      <alignment horizontal="left"/>
      <protection locked="0"/>
    </xf>
    <xf numFmtId="166" fontId="6" fillId="0" borderId="40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0" fontId="3" fillId="3" borderId="17" xfId="0" applyFont="1" applyFill="1" applyBorder="1" applyAlignment="1">
      <alignment horizontal="center"/>
    </xf>
    <xf numFmtId="39" fontId="4" fillId="0" borderId="12" xfId="0" applyNumberFormat="1" applyFont="1" applyBorder="1"/>
    <xf numFmtId="0" fontId="0" fillId="0" borderId="0" xfId="0" applyAlignment="1">
      <alignment wrapText="1"/>
    </xf>
    <xf numFmtId="37" fontId="7" fillId="0" borderId="12" xfId="0" applyNumberFormat="1" applyFont="1" applyBorder="1"/>
    <xf numFmtId="37" fontId="7" fillId="0" borderId="0" xfId="0" applyNumberFormat="1" applyFont="1"/>
    <xf numFmtId="37" fontId="6" fillId="0" borderId="0" xfId="0" applyNumberFormat="1" applyFont="1" applyProtection="1">
      <protection locked="0"/>
    </xf>
    <xf numFmtId="0" fontId="3" fillId="0" borderId="0" xfId="0" applyFont="1" applyAlignment="1">
      <alignment horizontal="center"/>
    </xf>
    <xf numFmtId="165" fontId="5" fillId="0" borderId="1" xfId="0" applyNumberFormat="1" applyFont="1" applyBorder="1" applyAlignment="1">
      <alignment horizontal="center" vertical="center" wrapText="1"/>
    </xf>
    <xf numFmtId="165" fontId="5" fillId="0" borderId="4" xfId="0" applyNumberFormat="1" applyFont="1" applyBorder="1" applyAlignment="1">
      <alignment horizontal="center" vertical="center" wrapText="1"/>
    </xf>
    <xf numFmtId="165" fontId="5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165" fontId="5" fillId="0" borderId="20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65" fontId="5" fillId="0" borderId="21" xfId="0" applyNumberFormat="1" applyFont="1" applyBorder="1" applyAlignment="1">
      <alignment horizontal="center" vertical="center" wrapText="1"/>
    </xf>
    <xf numFmtId="165" fontId="5" fillId="0" borderId="2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65" fontId="6" fillId="0" borderId="9" xfId="0" applyNumberFormat="1" applyFont="1" applyBorder="1" applyAlignment="1">
      <alignment horizontal="center" vertical="center" wrapText="1"/>
    </xf>
    <xf numFmtId="165" fontId="6" fillId="0" borderId="11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37" fontId="6" fillId="0" borderId="0" xfId="0" applyNumberFormat="1" applyFont="1" applyAlignment="1" applyProtection="1">
      <alignment horizontal="center"/>
      <protection locked="0"/>
    </xf>
    <xf numFmtId="0" fontId="5" fillId="0" borderId="1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165" fontId="5" fillId="0" borderId="36" xfId="0" applyNumberFormat="1" applyFont="1" applyBorder="1" applyAlignment="1">
      <alignment horizontal="center" vertical="center" wrapText="1"/>
    </xf>
    <xf numFmtId="165" fontId="5" fillId="0" borderId="3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165" fontId="5" fillId="0" borderId="36" xfId="0" applyNumberFormat="1" applyFont="1" applyBorder="1" applyAlignment="1">
      <alignment horizontal="center" vertical="top" wrapText="1"/>
    </xf>
    <xf numFmtId="165" fontId="5" fillId="0" borderId="37" xfId="0" applyNumberFormat="1" applyFont="1" applyBorder="1" applyAlignment="1">
      <alignment horizontal="center" vertical="top" wrapText="1"/>
    </xf>
    <xf numFmtId="165" fontId="10" fillId="0" borderId="21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 vertical="center" wrapText="1"/>
    </xf>
    <xf numFmtId="0" fontId="12" fillId="0" borderId="12" xfId="0" applyFont="1" applyBorder="1"/>
    <xf numFmtId="14" fontId="4" fillId="0" borderId="12" xfId="0" applyNumberFormat="1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12" fillId="0" borderId="12" xfId="0" applyNumberFormat="1" applyFont="1" applyBorder="1"/>
    <xf numFmtId="0" fontId="14" fillId="0" borderId="0" xfId="0" applyFont="1" applyAlignment="1">
      <alignment horizontal="center" vertical="center" wrapText="1"/>
    </xf>
    <xf numFmtId="0" fontId="13" fillId="0" borderId="42" xfId="0" applyFont="1" applyBorder="1"/>
    <xf numFmtId="0" fontId="14" fillId="0" borderId="0" xfId="0" applyFont="1" applyAlignment="1">
      <alignment horizontal="center" vertical="center" wrapText="1"/>
    </xf>
    <xf numFmtId="0" fontId="0" fillId="0" borderId="0" xfId="0" applyAlignment="1"/>
    <xf numFmtId="0" fontId="14" fillId="0" borderId="0" xfId="0" applyFont="1" applyAlignment="1">
      <alignment vertical="center" wrapText="1"/>
    </xf>
    <xf numFmtId="0" fontId="13" fillId="0" borderId="0" xfId="0" applyFont="1" applyBorder="1"/>
    <xf numFmtId="0" fontId="11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 vertical="center" wrapText="1"/>
    </xf>
    <xf numFmtId="49" fontId="12" fillId="0" borderId="0" xfId="0" applyNumberFormat="1" applyFont="1" applyBorder="1"/>
    <xf numFmtId="0" fontId="11" fillId="0" borderId="0" xfId="0" applyFont="1" applyBorder="1" applyAlignment="1">
      <alignment horizontal="left"/>
    </xf>
    <xf numFmtId="49" fontId="4" fillId="0" borderId="0" xfId="0" applyNumberFormat="1" applyFont="1" applyBorder="1" applyAlignment="1">
      <alignment horizontal="left" vertical="center" wrapText="1"/>
    </xf>
    <xf numFmtId="49" fontId="12" fillId="0" borderId="0" xfId="0" applyNumberFormat="1" applyFont="1" applyBorder="1"/>
    <xf numFmtId="0" fontId="4" fillId="0" borderId="0" xfId="0" applyFont="1" applyBorder="1" applyAlignment="1">
      <alignment horizontal="left" vertical="center" wrapText="1"/>
    </xf>
    <xf numFmtId="0" fontId="12" fillId="0" borderId="0" xfId="0" applyFont="1" applyBorder="1"/>
    <xf numFmtId="0" fontId="14" fillId="0" borderId="43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0" fontId="12" fillId="0" borderId="0" xfId="0" applyFont="1" applyBorder="1"/>
    <xf numFmtId="14" fontId="4" fillId="0" borderId="0" xfId="0" applyNumberFormat="1" applyFont="1" applyBorder="1" applyAlignment="1">
      <alignment horizontal="left" vertical="center" wrapText="1"/>
    </xf>
    <xf numFmtId="14" fontId="4" fillId="0" borderId="0" xfId="0" applyNumberFormat="1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 wrapText="1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Enerji Performans Göstergesi</a:t>
            </a:r>
          </a:p>
        </c:rich>
      </c:tx>
      <c:layout>
        <c:manualLayout>
          <c:xMode val="edge"/>
          <c:yMode val="edge"/>
          <c:x val="0.26189724386973057"/>
          <c:y val="3.22333038556325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Doğalgaz!$L$40</c:f>
              <c:strCache>
                <c:ptCount val="1"/>
                <c:pt idx="0">
                  <c:v>CUSUM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Doğalgaz!$L$45:$L$56</c:f>
              <c:numCache>
                <c:formatCode>#,##0_);\(#,##0\)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44-4218-AA5A-2182859BF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666191"/>
        <c:axId val="325676591"/>
      </c:scatterChart>
      <c:valAx>
        <c:axId val="32566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25676591"/>
        <c:crosses val="autoZero"/>
        <c:crossBetween val="midCat"/>
      </c:valAx>
      <c:valAx>
        <c:axId val="3256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2566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Enerji Performans Göstergesi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Elektrik1!$L$45:$L$56</c:f>
              <c:numCache>
                <c:formatCode>#,##0_);\(#,##0\)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CB-43AC-8B5A-C8A5F1F19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666191"/>
        <c:axId val="325676591"/>
      </c:scatterChart>
      <c:valAx>
        <c:axId val="32566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25676591"/>
        <c:crosses val="autoZero"/>
        <c:crossBetween val="midCat"/>
      </c:valAx>
      <c:valAx>
        <c:axId val="3256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2566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Enerji Performans Göstergesi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Elektrik2!$L$43:$L$54</c:f>
              <c:numCache>
                <c:formatCode>#,##0_);\(#,##0\)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CF-4538-B06B-16729F1DC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666191"/>
        <c:axId val="325676591"/>
      </c:scatterChart>
      <c:valAx>
        <c:axId val="32566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25676591"/>
        <c:crosses val="autoZero"/>
        <c:crossBetween val="midCat"/>
      </c:valAx>
      <c:valAx>
        <c:axId val="32567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25666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40</xdr:row>
      <xdr:rowOff>109537</xdr:rowOff>
    </xdr:from>
    <xdr:to>
      <xdr:col>20</xdr:col>
      <xdr:colOff>361950</xdr:colOff>
      <xdr:row>54</xdr:row>
      <xdr:rowOff>52387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63499</xdr:colOff>
      <xdr:row>0</xdr:row>
      <xdr:rowOff>180521</xdr:rowOff>
    </xdr:from>
    <xdr:ext cx="672193" cy="672193"/>
    <xdr:pic>
      <xdr:nvPicPr>
        <xdr:cNvPr id="5" name="image1.png">
          <a:extLst>
            <a:ext uri="{FF2B5EF4-FFF2-40B4-BE49-F238E27FC236}">
              <a16:creationId xmlns:a16="http://schemas.microsoft.com/office/drawing/2014/main" id="{48175477-FD9C-47C2-B260-FE6999EB709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3499" y="180521"/>
          <a:ext cx="672193" cy="672193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40</xdr:row>
      <xdr:rowOff>109537</xdr:rowOff>
    </xdr:from>
    <xdr:to>
      <xdr:col>20</xdr:col>
      <xdr:colOff>361950</xdr:colOff>
      <xdr:row>54</xdr:row>
      <xdr:rowOff>52387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47624</xdr:colOff>
      <xdr:row>0</xdr:row>
      <xdr:rowOff>53521</xdr:rowOff>
    </xdr:from>
    <xdr:ext cx="672193" cy="672193"/>
    <xdr:pic>
      <xdr:nvPicPr>
        <xdr:cNvPr id="5" name="image1.png">
          <a:extLst>
            <a:ext uri="{FF2B5EF4-FFF2-40B4-BE49-F238E27FC236}">
              <a16:creationId xmlns:a16="http://schemas.microsoft.com/office/drawing/2014/main" id="{1B53A848-2996-44FC-ADAB-5FCC14E107F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4" y="53521"/>
          <a:ext cx="672193" cy="672193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38</xdr:row>
      <xdr:rowOff>109537</xdr:rowOff>
    </xdr:from>
    <xdr:to>
      <xdr:col>20</xdr:col>
      <xdr:colOff>361950</xdr:colOff>
      <xdr:row>52</xdr:row>
      <xdr:rowOff>52387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47624</xdr:colOff>
      <xdr:row>0</xdr:row>
      <xdr:rowOff>53521</xdr:rowOff>
    </xdr:from>
    <xdr:ext cx="672193" cy="672193"/>
    <xdr:pic>
      <xdr:nvPicPr>
        <xdr:cNvPr id="6" name="image1.png">
          <a:extLst>
            <a:ext uri="{FF2B5EF4-FFF2-40B4-BE49-F238E27FC236}">
              <a16:creationId xmlns:a16="http://schemas.microsoft.com/office/drawing/2014/main" id="{A4A1A4B9-1DFF-4700-9D76-1C6905961DA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7624" y="53521"/>
          <a:ext cx="672193" cy="6721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sqref="A1:J19"/>
    </sheetView>
  </sheetViews>
  <sheetFormatPr defaultRowHeight="15" x14ac:dyDescent="0.25"/>
  <sheetData>
    <row r="1" spans="1:9" x14ac:dyDescent="0.25">
      <c r="A1" t="s">
        <v>16</v>
      </c>
    </row>
    <row r="2" spans="1:9" ht="15.75" thickBot="1" x14ac:dyDescent="0.3"/>
    <row r="3" spans="1:9" x14ac:dyDescent="0.25">
      <c r="A3" s="3" t="s">
        <v>17</v>
      </c>
      <c r="B3" s="3"/>
    </row>
    <row r="4" spans="1:9" x14ac:dyDescent="0.25">
      <c r="A4" t="s">
        <v>18</v>
      </c>
      <c r="B4">
        <v>0.98887144218075473</v>
      </c>
    </row>
    <row r="5" spans="1:9" x14ac:dyDescent="0.25">
      <c r="A5" t="s">
        <v>19</v>
      </c>
      <c r="B5">
        <v>0.97786672916064576</v>
      </c>
    </row>
    <row r="6" spans="1:9" x14ac:dyDescent="0.25">
      <c r="A6" t="s">
        <v>20</v>
      </c>
      <c r="B6">
        <v>0.97565340207671036</v>
      </c>
    </row>
    <row r="7" spans="1:9" x14ac:dyDescent="0.25">
      <c r="A7" t="s">
        <v>21</v>
      </c>
      <c r="B7">
        <v>4216.8864754355982</v>
      </c>
    </row>
    <row r="8" spans="1:9" ht="15.75" thickBot="1" x14ac:dyDescent="0.3">
      <c r="A8" s="1" t="s">
        <v>22</v>
      </c>
      <c r="B8" s="1">
        <v>12</v>
      </c>
    </row>
    <row r="10" spans="1:9" ht="15.75" thickBot="1" x14ac:dyDescent="0.3">
      <c r="A10" t="s">
        <v>23</v>
      </c>
    </row>
    <row r="11" spans="1:9" x14ac:dyDescent="0.25">
      <c r="A11" s="2"/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</row>
    <row r="12" spans="1:9" x14ac:dyDescent="0.25">
      <c r="A12" t="s">
        <v>24</v>
      </c>
      <c r="B12">
        <v>1</v>
      </c>
      <c r="C12">
        <v>7856296947.3853817</v>
      </c>
      <c r="D12">
        <v>7856296947.3853817</v>
      </c>
      <c r="E12">
        <v>441.80850460743545</v>
      </c>
      <c r="F12">
        <v>1.3193886988783769E-9</v>
      </c>
    </row>
    <row r="13" spans="1:9" x14ac:dyDescent="0.25">
      <c r="A13" t="s">
        <v>25</v>
      </c>
      <c r="B13">
        <v>10</v>
      </c>
      <c r="C13">
        <v>177821315.46711662</v>
      </c>
      <c r="D13">
        <v>17782131.546711661</v>
      </c>
    </row>
    <row r="14" spans="1:9" ht="15.75" thickBot="1" x14ac:dyDescent="0.3">
      <c r="A14" s="1" t="s">
        <v>26</v>
      </c>
      <c r="B14" s="1">
        <v>11</v>
      </c>
      <c r="C14" s="1">
        <v>8034118262.8524981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33</v>
      </c>
      <c r="C16" s="2" t="s">
        <v>21</v>
      </c>
      <c r="D16" s="2" t="s">
        <v>34</v>
      </c>
      <c r="E16" s="2" t="s">
        <v>35</v>
      </c>
      <c r="F16" s="2" t="s">
        <v>36</v>
      </c>
      <c r="G16" s="2" t="s">
        <v>37</v>
      </c>
      <c r="H16" s="2" t="s">
        <v>38</v>
      </c>
      <c r="I16" s="2" t="s">
        <v>39</v>
      </c>
    </row>
    <row r="17" spans="1:9" x14ac:dyDescent="0.25">
      <c r="A17" t="s">
        <v>27</v>
      </c>
      <c r="B17">
        <v>63633.71138152841</v>
      </c>
      <c r="C17">
        <v>1831.3954282921277</v>
      </c>
      <c r="D17">
        <v>34.746025024683057</v>
      </c>
      <c r="E17">
        <v>9.2390832087201147E-12</v>
      </c>
      <c r="F17">
        <v>59553.108074400676</v>
      </c>
      <c r="G17">
        <v>67714.314688656144</v>
      </c>
      <c r="H17">
        <v>59553.108074400676</v>
      </c>
      <c r="I17">
        <v>67714.314688656144</v>
      </c>
    </row>
    <row r="18" spans="1:9" ht="15.75" thickBot="1" x14ac:dyDescent="0.3">
      <c r="A18" s="1" t="s">
        <v>40</v>
      </c>
      <c r="B18" s="1">
        <v>122.9629684047668</v>
      </c>
      <c r="C18" s="1">
        <v>5.8500193551423845</v>
      </c>
      <c r="D18" s="1">
        <v>21.019241294762175</v>
      </c>
      <c r="E18" s="1">
        <v>1.3193886988783769E-9</v>
      </c>
      <c r="F18" s="1">
        <v>109.92831299470237</v>
      </c>
      <c r="G18" s="1">
        <v>135.99762381483123</v>
      </c>
      <c r="H18" s="1">
        <v>109.92831299470237</v>
      </c>
      <c r="I18" s="1">
        <v>135.99762381483123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9"/>
  <sheetViews>
    <sheetView tabSelected="1" view="pageBreakPreview" zoomScale="60" zoomScaleNormal="90" workbookViewId="0">
      <selection activeCell="L8" sqref="L8"/>
    </sheetView>
  </sheetViews>
  <sheetFormatPr defaultRowHeight="15" x14ac:dyDescent="0.25"/>
  <cols>
    <col min="1" max="1" width="11.5703125" customWidth="1"/>
    <col min="2" max="2" width="16.28515625" customWidth="1"/>
    <col min="3" max="3" width="19" customWidth="1"/>
    <col min="4" max="4" width="13" customWidth="1"/>
    <col min="5" max="5" width="15.7109375" customWidth="1"/>
    <col min="6" max="6" width="12.7109375" customWidth="1"/>
    <col min="7" max="7" width="11.28515625" customWidth="1"/>
    <col min="8" max="8" width="16.85546875" customWidth="1"/>
    <col min="9" max="9" width="15.28515625" customWidth="1"/>
    <col min="10" max="10" width="13.85546875" customWidth="1"/>
    <col min="11" max="11" width="12" bestFit="1" customWidth="1"/>
    <col min="12" max="12" width="13" customWidth="1"/>
    <col min="13" max="13" width="15.42578125" customWidth="1"/>
    <col min="14" max="15" width="12.140625" customWidth="1"/>
    <col min="16" max="16" width="12.28515625" customWidth="1"/>
    <col min="17" max="17" width="12.85546875" customWidth="1"/>
    <col min="20" max="20" width="9.140625" customWidth="1"/>
  </cols>
  <sheetData>
    <row r="1" spans="1:22" ht="15.75" customHeight="1" x14ac:dyDescent="0.25">
      <c r="A1" s="144"/>
      <c r="B1" s="129" t="s">
        <v>76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43"/>
      <c r="R1" s="122" t="s">
        <v>68</v>
      </c>
      <c r="S1" s="122"/>
      <c r="T1" s="123" t="s">
        <v>74</v>
      </c>
      <c r="U1" s="124"/>
    </row>
    <row r="2" spans="1:22" ht="15.75" customHeight="1" x14ac:dyDescent="0.25">
      <c r="A2" s="145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43"/>
      <c r="R2" s="122" t="s">
        <v>69</v>
      </c>
      <c r="S2" s="122"/>
      <c r="T2" s="125">
        <v>45292</v>
      </c>
      <c r="U2" s="124"/>
    </row>
    <row r="3" spans="1:22" ht="15.75" customHeight="1" x14ac:dyDescent="0.25">
      <c r="A3" s="145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43"/>
      <c r="R3" s="122" t="s">
        <v>70</v>
      </c>
      <c r="S3" s="122"/>
      <c r="T3" s="126"/>
      <c r="U3" s="126"/>
    </row>
    <row r="4" spans="1:22" ht="15.75" customHeight="1" x14ac:dyDescent="0.25">
      <c r="A4" s="145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43"/>
      <c r="R4" s="122" t="s">
        <v>71</v>
      </c>
      <c r="S4" s="122"/>
      <c r="T4" s="123"/>
      <c r="U4" s="124"/>
    </row>
    <row r="5" spans="1:22" ht="15.75" customHeight="1" x14ac:dyDescent="0.25">
      <c r="A5" s="145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43"/>
      <c r="R5" s="122" t="s">
        <v>72</v>
      </c>
      <c r="S5" s="122"/>
      <c r="T5" s="127" t="s">
        <v>73</v>
      </c>
      <c r="U5" s="128"/>
    </row>
    <row r="6" spans="1:22" ht="15.75" customHeight="1" thickBot="1" x14ac:dyDescent="0.3">
      <c r="A6" s="15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51"/>
      <c r="R6" s="138"/>
      <c r="S6" s="138"/>
      <c r="T6" s="139"/>
      <c r="U6" s="140"/>
    </row>
    <row r="7" spans="1:22" ht="43.5" customHeight="1" x14ac:dyDescent="0.25">
      <c r="A7" s="108" t="s">
        <v>55</v>
      </c>
      <c r="B7" s="113" t="s">
        <v>54</v>
      </c>
      <c r="C7" s="111" t="s">
        <v>14</v>
      </c>
      <c r="D7" s="111"/>
      <c r="E7" s="112"/>
    </row>
    <row r="8" spans="1:22" ht="22.5" customHeight="1" thickBot="1" x14ac:dyDescent="0.35">
      <c r="A8" s="109"/>
      <c r="B8" s="114"/>
      <c r="C8" s="65" t="s">
        <v>53</v>
      </c>
      <c r="D8" s="63" t="s">
        <v>13</v>
      </c>
      <c r="E8" s="64" t="s">
        <v>56</v>
      </c>
      <c r="H8" s="11"/>
      <c r="I8" t="s">
        <v>16</v>
      </c>
    </row>
    <row r="9" spans="1:22" ht="15" customHeight="1" thickBot="1" x14ac:dyDescent="0.35">
      <c r="A9" s="116"/>
      <c r="B9" s="72" t="s">
        <v>1</v>
      </c>
      <c r="C9" s="66"/>
      <c r="D9" s="53"/>
      <c r="E9" s="54"/>
      <c r="H9" s="11"/>
    </row>
    <row r="10" spans="1:22" ht="15" customHeight="1" x14ac:dyDescent="0.3">
      <c r="A10" s="117"/>
      <c r="B10" s="73" t="s">
        <v>2</v>
      </c>
      <c r="C10" s="67"/>
      <c r="D10" s="14"/>
      <c r="E10" s="55"/>
      <c r="H10" s="11"/>
      <c r="I10" s="3" t="s">
        <v>17</v>
      </c>
      <c r="J10" s="3"/>
    </row>
    <row r="11" spans="1:22" ht="15" customHeight="1" x14ac:dyDescent="0.3">
      <c r="A11" s="117"/>
      <c r="B11" s="73" t="s">
        <v>3</v>
      </c>
      <c r="C11" s="67"/>
      <c r="D11" s="14"/>
      <c r="E11" s="55"/>
      <c r="H11" s="11"/>
      <c r="I11" t="s">
        <v>18</v>
      </c>
    </row>
    <row r="12" spans="1:22" ht="15" customHeight="1" x14ac:dyDescent="0.3">
      <c r="A12" s="117"/>
      <c r="B12" s="73" t="s">
        <v>4</v>
      </c>
      <c r="C12" s="67"/>
      <c r="D12" s="14"/>
      <c r="E12" s="55"/>
      <c r="H12" s="11"/>
      <c r="I12" s="75" t="s">
        <v>19</v>
      </c>
      <c r="J12" s="75"/>
      <c r="R12" s="4"/>
      <c r="S12" s="4"/>
      <c r="T12" s="4"/>
      <c r="U12" s="4"/>
      <c r="V12" s="4"/>
    </row>
    <row r="13" spans="1:22" ht="15" customHeight="1" x14ac:dyDescent="0.3">
      <c r="A13" s="117"/>
      <c r="B13" s="73" t="s">
        <v>5</v>
      </c>
      <c r="C13" s="67"/>
      <c r="D13" s="14"/>
      <c r="E13" s="55"/>
      <c r="H13" s="11"/>
      <c r="I13" t="s">
        <v>20</v>
      </c>
      <c r="R13" s="4"/>
      <c r="S13" s="4"/>
      <c r="T13" s="4"/>
      <c r="U13" s="4"/>
      <c r="V13" s="4"/>
    </row>
    <row r="14" spans="1:22" ht="15" customHeight="1" x14ac:dyDescent="0.3">
      <c r="A14" s="117"/>
      <c r="B14" s="73" t="s">
        <v>6</v>
      </c>
      <c r="C14" s="67"/>
      <c r="D14" s="14"/>
      <c r="E14" s="55"/>
      <c r="H14" s="11"/>
      <c r="I14" t="s">
        <v>21</v>
      </c>
      <c r="R14" s="4"/>
      <c r="S14" s="4"/>
      <c r="T14" s="4"/>
      <c r="U14" s="4"/>
      <c r="V14" s="4"/>
    </row>
    <row r="15" spans="1:22" ht="15" customHeight="1" thickBot="1" x14ac:dyDescent="0.35">
      <c r="A15" s="117"/>
      <c r="B15" s="73" t="s">
        <v>7</v>
      </c>
      <c r="C15" s="67"/>
      <c r="D15" s="14"/>
      <c r="E15" s="55"/>
      <c r="H15" s="11"/>
      <c r="I15" s="1" t="s">
        <v>22</v>
      </c>
      <c r="J15" s="1"/>
      <c r="R15" s="4"/>
      <c r="S15" s="4"/>
      <c r="T15" s="4"/>
      <c r="U15" s="4"/>
      <c r="V15" s="4"/>
    </row>
    <row r="16" spans="1:22" ht="15" customHeight="1" x14ac:dyDescent="0.3">
      <c r="A16" s="117"/>
      <c r="B16" s="73" t="s">
        <v>8</v>
      </c>
      <c r="C16" s="67"/>
      <c r="D16" s="14"/>
      <c r="E16" s="55"/>
      <c r="F16" s="4"/>
      <c r="G16" s="4"/>
      <c r="H16" s="11"/>
      <c r="R16" s="4"/>
      <c r="S16" s="4"/>
      <c r="T16" s="4"/>
      <c r="U16" s="4"/>
      <c r="V16" s="4"/>
    </row>
    <row r="17" spans="1:22" ht="15" customHeight="1" thickBot="1" x14ac:dyDescent="0.35">
      <c r="A17" s="117"/>
      <c r="B17" s="73" t="s">
        <v>9</v>
      </c>
      <c r="C17" s="67"/>
      <c r="D17" s="14"/>
      <c r="E17" s="55"/>
      <c r="H17" s="11"/>
      <c r="I17" t="s">
        <v>23</v>
      </c>
      <c r="R17" s="4"/>
      <c r="S17" s="4"/>
      <c r="T17" s="4"/>
      <c r="U17" s="4"/>
      <c r="V17" s="4"/>
    </row>
    <row r="18" spans="1:22" ht="15" customHeight="1" x14ac:dyDescent="0.3">
      <c r="A18" s="117"/>
      <c r="B18" s="73" t="s">
        <v>10</v>
      </c>
      <c r="C18" s="67"/>
      <c r="D18" s="14"/>
      <c r="E18" s="55"/>
      <c r="H18" s="11"/>
      <c r="I18" s="2"/>
      <c r="J18" s="2" t="s">
        <v>28</v>
      </c>
      <c r="K18" s="2" t="s">
        <v>29</v>
      </c>
      <c r="L18" s="2" t="s">
        <v>30</v>
      </c>
      <c r="M18" s="2" t="s">
        <v>31</v>
      </c>
      <c r="N18" s="76" t="s">
        <v>32</v>
      </c>
      <c r="R18" s="4"/>
      <c r="S18" s="4"/>
      <c r="T18" s="4"/>
      <c r="U18" s="4"/>
      <c r="V18" s="4"/>
    </row>
    <row r="19" spans="1:22" ht="15" customHeight="1" x14ac:dyDescent="0.3">
      <c r="A19" s="117"/>
      <c r="B19" s="73" t="s">
        <v>11</v>
      </c>
      <c r="C19" s="67"/>
      <c r="D19" s="14"/>
      <c r="E19" s="55"/>
      <c r="H19" s="11"/>
      <c r="I19" t="s">
        <v>24</v>
      </c>
      <c r="N19" s="75"/>
      <c r="R19" s="4"/>
      <c r="S19" s="4"/>
      <c r="T19" s="4"/>
      <c r="U19" s="4"/>
      <c r="V19" s="4"/>
    </row>
    <row r="20" spans="1:22" ht="15" customHeight="1" thickBot="1" x14ac:dyDescent="0.3">
      <c r="A20" s="118"/>
      <c r="B20" s="74" t="s">
        <v>12</v>
      </c>
      <c r="C20" s="68"/>
      <c r="D20" s="56"/>
      <c r="E20" s="57"/>
      <c r="H20" s="4"/>
      <c r="I20" t="s">
        <v>25</v>
      </c>
      <c r="R20" s="4"/>
      <c r="S20" s="4"/>
      <c r="T20" s="4"/>
      <c r="U20" s="4"/>
      <c r="V20" s="4"/>
    </row>
    <row r="21" spans="1:22" ht="15" customHeight="1" thickBot="1" x14ac:dyDescent="0.3">
      <c r="A21" s="116"/>
      <c r="B21" s="72" t="s">
        <v>1</v>
      </c>
      <c r="C21" s="69"/>
      <c r="D21" s="58"/>
      <c r="E21" s="59"/>
      <c r="H21" s="4"/>
      <c r="I21" s="1" t="s">
        <v>26</v>
      </c>
      <c r="J21" s="1"/>
      <c r="K21" s="1"/>
      <c r="L21" s="1"/>
      <c r="N21" s="1"/>
      <c r="R21" s="4"/>
      <c r="S21" s="4"/>
      <c r="T21" s="4"/>
      <c r="U21" s="4"/>
      <c r="V21" s="4"/>
    </row>
    <row r="22" spans="1:22" ht="15" customHeight="1" thickBot="1" x14ac:dyDescent="0.3">
      <c r="A22" s="117"/>
      <c r="B22" s="73" t="s">
        <v>2</v>
      </c>
      <c r="C22" s="70"/>
      <c r="D22" s="13"/>
      <c r="E22" s="60"/>
      <c r="H22" s="4"/>
      <c r="R22" s="4"/>
      <c r="S22" s="4"/>
      <c r="T22" s="4"/>
      <c r="U22" s="4"/>
      <c r="V22" s="4"/>
    </row>
    <row r="23" spans="1:22" ht="15" customHeight="1" x14ac:dyDescent="0.25">
      <c r="A23" s="117"/>
      <c r="B23" s="73" t="s">
        <v>3</v>
      </c>
      <c r="C23" s="70"/>
      <c r="D23" s="13"/>
      <c r="E23" s="60"/>
      <c r="H23" s="4"/>
      <c r="I23" s="2"/>
      <c r="J23" s="2" t="s">
        <v>33</v>
      </c>
      <c r="K23" s="2" t="s">
        <v>21</v>
      </c>
      <c r="L23" s="2" t="s">
        <v>34</v>
      </c>
      <c r="M23" s="2" t="s">
        <v>35</v>
      </c>
      <c r="N23" s="2" t="s">
        <v>36</v>
      </c>
      <c r="O23" s="2" t="s">
        <v>37</v>
      </c>
      <c r="P23" s="2" t="s">
        <v>38</v>
      </c>
      <c r="Q23" s="2" t="s">
        <v>39</v>
      </c>
      <c r="R23" s="4"/>
      <c r="S23" s="4"/>
      <c r="T23" s="4"/>
      <c r="U23" s="4"/>
      <c r="V23" s="4"/>
    </row>
    <row r="24" spans="1:22" ht="15" customHeight="1" x14ac:dyDescent="0.25">
      <c r="A24" s="117"/>
      <c r="B24" s="73" t="s">
        <v>4</v>
      </c>
      <c r="C24" s="70"/>
      <c r="D24" s="13"/>
      <c r="E24" s="60"/>
      <c r="H24" s="4"/>
      <c r="I24" t="s">
        <v>27</v>
      </c>
      <c r="R24" s="4"/>
      <c r="S24" s="4"/>
      <c r="T24" s="4"/>
      <c r="U24" s="4"/>
      <c r="V24" s="4"/>
    </row>
    <row r="25" spans="1:22" ht="15" customHeight="1" x14ac:dyDescent="0.25">
      <c r="A25" s="117"/>
      <c r="B25" s="73" t="s">
        <v>5</v>
      </c>
      <c r="C25" s="70"/>
      <c r="D25" s="13"/>
      <c r="E25" s="60"/>
      <c r="H25" s="4"/>
      <c r="I25" t="s">
        <v>13</v>
      </c>
      <c r="R25" s="4"/>
      <c r="S25" s="4"/>
      <c r="T25" s="4"/>
      <c r="U25" s="4"/>
      <c r="V25" s="4"/>
    </row>
    <row r="26" spans="1:22" ht="15" customHeight="1" thickBot="1" x14ac:dyDescent="0.3">
      <c r="A26" s="117"/>
      <c r="B26" s="73" t="s">
        <v>6</v>
      </c>
      <c r="C26" s="70"/>
      <c r="D26" s="13"/>
      <c r="E26" s="60"/>
      <c r="H26" s="4"/>
      <c r="I26" s="1" t="s">
        <v>56</v>
      </c>
      <c r="J26" s="1"/>
      <c r="K26" s="1"/>
      <c r="L26" s="1"/>
      <c r="M26" s="1"/>
      <c r="N26" s="1"/>
      <c r="O26" s="1"/>
      <c r="P26" s="1"/>
      <c r="Q26" s="1"/>
      <c r="R26" s="4"/>
      <c r="S26" s="4"/>
      <c r="T26" s="4"/>
      <c r="U26" s="4"/>
      <c r="V26" s="4"/>
    </row>
    <row r="27" spans="1:22" ht="15" customHeight="1" x14ac:dyDescent="0.25">
      <c r="A27" s="117"/>
      <c r="B27" s="73" t="s">
        <v>7</v>
      </c>
      <c r="C27" s="70"/>
      <c r="D27" s="13"/>
      <c r="E27" s="6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" customHeight="1" x14ac:dyDescent="0.25">
      <c r="A28" s="117"/>
      <c r="B28" s="73" t="s">
        <v>8</v>
      </c>
      <c r="C28" s="70"/>
      <c r="D28" s="13"/>
      <c r="E28" s="6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" customHeight="1" x14ac:dyDescent="0.25">
      <c r="A29" s="117"/>
      <c r="B29" s="73" t="s">
        <v>9</v>
      </c>
      <c r="C29" s="70"/>
      <c r="D29" s="13"/>
      <c r="E29" s="6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" customHeight="1" x14ac:dyDescent="0.25">
      <c r="A30" s="117"/>
      <c r="B30" s="73" t="s">
        <v>10</v>
      </c>
      <c r="C30" s="70"/>
      <c r="D30" s="13"/>
      <c r="E30" s="6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" customHeight="1" x14ac:dyDescent="0.25">
      <c r="A31" s="117"/>
      <c r="B31" s="73" t="s">
        <v>11</v>
      </c>
      <c r="C31" s="70"/>
      <c r="D31" s="13"/>
      <c r="E31" s="6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" customHeight="1" thickBot="1" x14ac:dyDescent="0.3">
      <c r="A32" s="118"/>
      <c r="B32" s="74" t="s">
        <v>12</v>
      </c>
      <c r="C32" s="71"/>
      <c r="D32" s="61"/>
      <c r="E32" s="6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13" ht="15.75" x14ac:dyDescent="0.25">
      <c r="A33" s="115"/>
      <c r="B33" s="6"/>
      <c r="C33" s="7"/>
      <c r="D33" s="4"/>
      <c r="E33" s="52"/>
      <c r="I33" s="2"/>
      <c r="J33" s="2" t="s">
        <v>33</v>
      </c>
    </row>
    <row r="34" spans="1:13" ht="15.75" x14ac:dyDescent="0.25">
      <c r="A34" s="115"/>
      <c r="B34" s="6"/>
      <c r="C34" s="7"/>
      <c r="D34" s="4"/>
      <c r="E34" s="52"/>
      <c r="I34" t="s">
        <v>27</v>
      </c>
      <c r="K34" s="4"/>
      <c r="L34" s="4"/>
    </row>
    <row r="35" spans="1:13" ht="15.75" x14ac:dyDescent="0.25">
      <c r="A35" s="115"/>
      <c r="B35" s="6"/>
      <c r="C35" s="7"/>
      <c r="D35" s="4"/>
      <c r="E35" s="52"/>
      <c r="I35" t="s">
        <v>13</v>
      </c>
      <c r="K35" s="4"/>
      <c r="L35" s="4"/>
    </row>
    <row r="36" spans="1:13" ht="16.5" thickBot="1" x14ac:dyDescent="0.3">
      <c r="A36" s="115"/>
      <c r="B36" s="6"/>
      <c r="C36" s="7"/>
      <c r="D36" s="4"/>
      <c r="E36" s="52"/>
      <c r="I36" s="1" t="s">
        <v>56</v>
      </c>
      <c r="J36" s="1"/>
      <c r="K36" s="4"/>
      <c r="L36" s="4"/>
    </row>
    <row r="37" spans="1:13" ht="18.75" x14ac:dyDescent="0.3">
      <c r="A37" s="115"/>
      <c r="B37" s="6"/>
      <c r="C37" s="7"/>
      <c r="D37" s="4"/>
      <c r="E37" s="52"/>
      <c r="I37" s="12"/>
      <c r="J37" s="12"/>
      <c r="K37" s="4"/>
      <c r="L37" s="4"/>
    </row>
    <row r="38" spans="1:13" ht="15.75" x14ac:dyDescent="0.25">
      <c r="A38" s="115"/>
      <c r="B38" s="6"/>
      <c r="C38" s="7"/>
      <c r="D38" s="4"/>
      <c r="E38" s="52"/>
      <c r="I38" s="110"/>
      <c r="J38" s="110"/>
      <c r="K38" s="110"/>
      <c r="L38" s="110"/>
    </row>
    <row r="39" spans="1:13" ht="45" x14ac:dyDescent="0.25">
      <c r="M39" s="78" t="s">
        <v>60</v>
      </c>
    </row>
    <row r="40" spans="1:13" ht="15.75" x14ac:dyDescent="0.25">
      <c r="A40" s="83" t="s">
        <v>67</v>
      </c>
      <c r="B40" s="86" t="s">
        <v>51</v>
      </c>
      <c r="C40" s="87"/>
      <c r="D40" s="88"/>
      <c r="E40" s="15"/>
      <c r="F40" s="16" t="s">
        <v>43</v>
      </c>
      <c r="G40" s="42"/>
      <c r="H40" s="17"/>
      <c r="I40" s="18"/>
      <c r="J40" s="95" t="s">
        <v>47</v>
      </c>
      <c r="K40" s="96"/>
      <c r="L40" s="83" t="s">
        <v>52</v>
      </c>
      <c r="M40" s="83" t="s">
        <v>59</v>
      </c>
    </row>
    <row r="41" spans="1:13" ht="15.75" x14ac:dyDescent="0.25">
      <c r="A41" s="84"/>
      <c r="B41" s="89"/>
      <c r="C41" s="90"/>
      <c r="D41" s="91"/>
      <c r="E41" s="19"/>
      <c r="F41" s="98" t="s">
        <v>44</v>
      </c>
      <c r="G41" s="83" t="s">
        <v>57</v>
      </c>
      <c r="H41" s="83" t="s">
        <v>58</v>
      </c>
      <c r="I41" s="100" t="s">
        <v>15</v>
      </c>
      <c r="J41" s="97"/>
      <c r="K41" s="93"/>
      <c r="L41" s="84"/>
      <c r="M41" s="84"/>
    </row>
    <row r="42" spans="1:13" ht="15.75" x14ac:dyDescent="0.25">
      <c r="A42" s="84"/>
      <c r="B42" s="92"/>
      <c r="C42" s="93"/>
      <c r="D42" s="94"/>
      <c r="E42" s="20"/>
      <c r="F42" s="99"/>
      <c r="G42" s="85"/>
      <c r="H42" s="85"/>
      <c r="I42" s="101"/>
      <c r="J42" s="98" t="s">
        <v>45</v>
      </c>
      <c r="K42" s="21" t="s">
        <v>41</v>
      </c>
      <c r="L42" s="84"/>
      <c r="M42" s="84"/>
    </row>
    <row r="43" spans="1:13" ht="15.75" x14ac:dyDescent="0.25">
      <c r="A43" s="84"/>
      <c r="B43" s="22" t="s">
        <v>48</v>
      </c>
      <c r="C43" s="106" t="s">
        <v>13</v>
      </c>
      <c r="D43" s="106" t="s">
        <v>56</v>
      </c>
      <c r="E43" s="23" t="s">
        <v>50</v>
      </c>
      <c r="F43" s="24" t="s">
        <v>42</v>
      </c>
      <c r="G43" s="43"/>
      <c r="H43" s="25"/>
      <c r="I43" s="102"/>
      <c r="J43" s="104"/>
      <c r="K43" s="26" t="s">
        <v>46</v>
      </c>
      <c r="L43" s="84"/>
      <c r="M43" s="84"/>
    </row>
    <row r="44" spans="1:13" ht="15.75" x14ac:dyDescent="0.25">
      <c r="A44" s="85"/>
      <c r="B44" s="27" t="s">
        <v>49</v>
      </c>
      <c r="C44" s="107"/>
      <c r="D44" s="107"/>
      <c r="E44" s="28">
        <v>0.03</v>
      </c>
      <c r="F44" s="29">
        <f>+J34</f>
        <v>0</v>
      </c>
      <c r="G44" s="44">
        <f>+J35</f>
        <v>0</v>
      </c>
      <c r="H44" s="30">
        <f>+J36</f>
        <v>0</v>
      </c>
      <c r="I44" s="103"/>
      <c r="J44" s="105"/>
      <c r="K44" s="31"/>
      <c r="L44" s="85"/>
      <c r="M44" s="85"/>
    </row>
    <row r="45" spans="1:13" ht="15.75" x14ac:dyDescent="0.25">
      <c r="A45" s="5" t="s">
        <v>1</v>
      </c>
      <c r="B45" s="9"/>
      <c r="C45" s="8"/>
      <c r="D45" s="9"/>
      <c r="E45" s="33">
        <f>+I45*0.97</f>
        <v>0</v>
      </c>
      <c r="F45" s="29">
        <f>$J$34</f>
        <v>0</v>
      </c>
      <c r="G45" s="44">
        <f>C45*$G$44</f>
        <v>0</v>
      </c>
      <c r="H45" s="30">
        <f t="shared" ref="H45:H56" si="0">D45*$J$36</f>
        <v>0</v>
      </c>
      <c r="I45" s="32">
        <f>F45+G45+H45</f>
        <v>0</v>
      </c>
      <c r="J45" s="34">
        <f>+I45-B45</f>
        <v>0</v>
      </c>
      <c r="K45" s="35">
        <f>J45*$K$44</f>
        <v>0</v>
      </c>
      <c r="L45" s="10">
        <f>J45</f>
        <v>0</v>
      </c>
      <c r="M45" s="77" t="e">
        <f>+B45/I45</f>
        <v>#DIV/0!</v>
      </c>
    </row>
    <row r="46" spans="1:13" ht="15.75" x14ac:dyDescent="0.25">
      <c r="A46" s="5" t="s">
        <v>2</v>
      </c>
      <c r="B46" s="9"/>
      <c r="C46" s="8"/>
      <c r="D46" s="9"/>
      <c r="E46" s="33">
        <f t="shared" ref="E46:E56" si="1">+I46*0.97</f>
        <v>0</v>
      </c>
      <c r="F46" s="29">
        <f t="shared" ref="F46:F56" si="2">$J$34</f>
        <v>0</v>
      </c>
      <c r="G46" s="44">
        <f t="shared" ref="G46:G56" si="3">C46*$G$44</f>
        <v>0</v>
      </c>
      <c r="H46" s="30">
        <f t="shared" si="0"/>
        <v>0</v>
      </c>
      <c r="I46" s="32">
        <f t="shared" ref="I46:I56" si="4">F46+G46+H46</f>
        <v>0</v>
      </c>
      <c r="J46" s="34">
        <f t="shared" ref="J46:J56" si="5">+I46-B46</f>
        <v>0</v>
      </c>
      <c r="K46" s="35">
        <f t="shared" ref="K46:K56" si="6">J46*$K$44</f>
        <v>0</v>
      </c>
      <c r="L46" s="10">
        <f>J46+L45</f>
        <v>0</v>
      </c>
      <c r="M46" s="77" t="e">
        <f t="shared" ref="M46:M56" si="7">+B46/I46</f>
        <v>#DIV/0!</v>
      </c>
    </row>
    <row r="47" spans="1:13" ht="15.75" x14ac:dyDescent="0.25">
      <c r="A47" s="5" t="s">
        <v>3</v>
      </c>
      <c r="B47" s="9"/>
      <c r="C47" s="8"/>
      <c r="D47" s="9"/>
      <c r="E47" s="33">
        <f t="shared" si="1"/>
        <v>0</v>
      </c>
      <c r="F47" s="29">
        <f t="shared" si="2"/>
        <v>0</v>
      </c>
      <c r="G47" s="44">
        <f t="shared" si="3"/>
        <v>0</v>
      </c>
      <c r="H47" s="30">
        <f t="shared" si="0"/>
        <v>0</v>
      </c>
      <c r="I47" s="32">
        <f t="shared" si="4"/>
        <v>0</v>
      </c>
      <c r="J47" s="34">
        <f t="shared" si="5"/>
        <v>0</v>
      </c>
      <c r="K47" s="35">
        <f t="shared" si="6"/>
        <v>0</v>
      </c>
      <c r="L47" s="10">
        <f t="shared" ref="L47:L56" si="8">J47+L46</f>
        <v>0</v>
      </c>
      <c r="M47" s="77" t="e">
        <f t="shared" si="7"/>
        <v>#DIV/0!</v>
      </c>
    </row>
    <row r="48" spans="1:13" ht="15.75" x14ac:dyDescent="0.25">
      <c r="A48" s="5" t="s">
        <v>4</v>
      </c>
      <c r="B48" s="9"/>
      <c r="C48" s="8"/>
      <c r="D48" s="9"/>
      <c r="E48" s="33">
        <f t="shared" si="1"/>
        <v>0</v>
      </c>
      <c r="F48" s="29">
        <f t="shared" si="2"/>
        <v>0</v>
      </c>
      <c r="G48" s="44">
        <f t="shared" si="3"/>
        <v>0</v>
      </c>
      <c r="H48" s="30">
        <f t="shared" si="0"/>
        <v>0</v>
      </c>
      <c r="I48" s="32">
        <f t="shared" si="4"/>
        <v>0</v>
      </c>
      <c r="J48" s="34">
        <f t="shared" si="5"/>
        <v>0</v>
      </c>
      <c r="K48" s="35">
        <f t="shared" si="6"/>
        <v>0</v>
      </c>
      <c r="L48" s="10">
        <f>J48+L47</f>
        <v>0</v>
      </c>
      <c r="M48" s="77" t="e">
        <f t="shared" si="7"/>
        <v>#DIV/0!</v>
      </c>
    </row>
    <row r="49" spans="1:13" ht="15.75" x14ac:dyDescent="0.25">
      <c r="A49" s="5" t="s">
        <v>5</v>
      </c>
      <c r="B49" s="9"/>
      <c r="C49" s="8"/>
      <c r="D49" s="9"/>
      <c r="E49" s="33">
        <f t="shared" si="1"/>
        <v>0</v>
      </c>
      <c r="F49" s="29">
        <f t="shared" si="2"/>
        <v>0</v>
      </c>
      <c r="G49" s="44">
        <f t="shared" si="3"/>
        <v>0</v>
      </c>
      <c r="H49" s="30">
        <f t="shared" si="0"/>
        <v>0</v>
      </c>
      <c r="I49" s="32">
        <f t="shared" si="4"/>
        <v>0</v>
      </c>
      <c r="J49" s="34">
        <f t="shared" si="5"/>
        <v>0</v>
      </c>
      <c r="K49" s="35">
        <f t="shared" si="6"/>
        <v>0</v>
      </c>
      <c r="L49" s="10">
        <f t="shared" si="8"/>
        <v>0</v>
      </c>
      <c r="M49" s="77" t="e">
        <f t="shared" si="7"/>
        <v>#DIV/0!</v>
      </c>
    </row>
    <row r="50" spans="1:13" ht="15.75" x14ac:dyDescent="0.25">
      <c r="A50" s="5" t="s">
        <v>6</v>
      </c>
      <c r="B50" s="9"/>
      <c r="C50" s="8"/>
      <c r="D50" s="9"/>
      <c r="E50" s="33">
        <f t="shared" si="1"/>
        <v>0</v>
      </c>
      <c r="F50" s="29">
        <f t="shared" si="2"/>
        <v>0</v>
      </c>
      <c r="G50" s="44">
        <f t="shared" si="3"/>
        <v>0</v>
      </c>
      <c r="H50" s="30">
        <f t="shared" si="0"/>
        <v>0</v>
      </c>
      <c r="I50" s="32">
        <f t="shared" si="4"/>
        <v>0</v>
      </c>
      <c r="J50" s="34">
        <f t="shared" si="5"/>
        <v>0</v>
      </c>
      <c r="K50" s="35">
        <f t="shared" si="6"/>
        <v>0</v>
      </c>
      <c r="L50" s="10">
        <f t="shared" si="8"/>
        <v>0</v>
      </c>
      <c r="M50" s="77" t="e">
        <f t="shared" si="7"/>
        <v>#DIV/0!</v>
      </c>
    </row>
    <row r="51" spans="1:13" ht="15.75" x14ac:dyDescent="0.25">
      <c r="A51" s="5" t="s">
        <v>7</v>
      </c>
      <c r="B51" s="9"/>
      <c r="C51" s="8"/>
      <c r="D51" s="9"/>
      <c r="E51" s="33">
        <f t="shared" si="1"/>
        <v>0</v>
      </c>
      <c r="F51" s="29">
        <f t="shared" si="2"/>
        <v>0</v>
      </c>
      <c r="G51" s="44">
        <f t="shared" si="3"/>
        <v>0</v>
      </c>
      <c r="H51" s="30">
        <f t="shared" si="0"/>
        <v>0</v>
      </c>
      <c r="I51" s="32">
        <f t="shared" si="4"/>
        <v>0</v>
      </c>
      <c r="J51" s="34">
        <f t="shared" si="5"/>
        <v>0</v>
      </c>
      <c r="K51" s="35">
        <f t="shared" si="6"/>
        <v>0</v>
      </c>
      <c r="L51" s="10">
        <f t="shared" si="8"/>
        <v>0</v>
      </c>
      <c r="M51" s="77" t="e">
        <f t="shared" si="7"/>
        <v>#DIV/0!</v>
      </c>
    </row>
    <row r="52" spans="1:13" ht="15.75" x14ac:dyDescent="0.25">
      <c r="A52" s="5" t="s">
        <v>8</v>
      </c>
      <c r="B52" s="9"/>
      <c r="C52" s="8"/>
      <c r="D52" s="9"/>
      <c r="E52" s="33">
        <f t="shared" si="1"/>
        <v>0</v>
      </c>
      <c r="F52" s="29">
        <f t="shared" si="2"/>
        <v>0</v>
      </c>
      <c r="G52" s="44">
        <f t="shared" si="3"/>
        <v>0</v>
      </c>
      <c r="H52" s="30">
        <f t="shared" si="0"/>
        <v>0</v>
      </c>
      <c r="I52" s="32">
        <f t="shared" si="4"/>
        <v>0</v>
      </c>
      <c r="J52" s="34">
        <f t="shared" si="5"/>
        <v>0</v>
      </c>
      <c r="K52" s="35">
        <f t="shared" si="6"/>
        <v>0</v>
      </c>
      <c r="L52" s="10">
        <f t="shared" si="8"/>
        <v>0</v>
      </c>
      <c r="M52" s="77" t="e">
        <f t="shared" si="7"/>
        <v>#DIV/0!</v>
      </c>
    </row>
    <row r="53" spans="1:13" ht="15.75" x14ac:dyDescent="0.25">
      <c r="A53" s="5" t="s">
        <v>9</v>
      </c>
      <c r="B53" s="9"/>
      <c r="C53" s="8"/>
      <c r="D53" s="9"/>
      <c r="E53" s="33">
        <f t="shared" si="1"/>
        <v>0</v>
      </c>
      <c r="F53" s="29">
        <f t="shared" si="2"/>
        <v>0</v>
      </c>
      <c r="G53" s="44">
        <f t="shared" si="3"/>
        <v>0</v>
      </c>
      <c r="H53" s="30">
        <f t="shared" si="0"/>
        <v>0</v>
      </c>
      <c r="I53" s="32">
        <f t="shared" si="4"/>
        <v>0</v>
      </c>
      <c r="J53" s="34">
        <f t="shared" si="5"/>
        <v>0</v>
      </c>
      <c r="K53" s="35">
        <f t="shared" si="6"/>
        <v>0</v>
      </c>
      <c r="L53" s="10">
        <f t="shared" si="8"/>
        <v>0</v>
      </c>
      <c r="M53" s="77" t="e">
        <f t="shared" si="7"/>
        <v>#DIV/0!</v>
      </c>
    </row>
    <row r="54" spans="1:13" ht="15.75" x14ac:dyDescent="0.25">
      <c r="A54" s="5" t="s">
        <v>10</v>
      </c>
      <c r="B54" s="9"/>
      <c r="C54" s="8"/>
      <c r="D54" s="9"/>
      <c r="E54" s="33">
        <f t="shared" si="1"/>
        <v>0</v>
      </c>
      <c r="F54" s="29">
        <f t="shared" si="2"/>
        <v>0</v>
      </c>
      <c r="G54" s="44">
        <f t="shared" si="3"/>
        <v>0</v>
      </c>
      <c r="H54" s="30">
        <f t="shared" si="0"/>
        <v>0</v>
      </c>
      <c r="I54" s="32">
        <f t="shared" si="4"/>
        <v>0</v>
      </c>
      <c r="J54" s="34">
        <f t="shared" si="5"/>
        <v>0</v>
      </c>
      <c r="K54" s="35">
        <f t="shared" si="6"/>
        <v>0</v>
      </c>
      <c r="L54" s="10">
        <f t="shared" si="8"/>
        <v>0</v>
      </c>
      <c r="M54" s="77" t="e">
        <f t="shared" si="7"/>
        <v>#DIV/0!</v>
      </c>
    </row>
    <row r="55" spans="1:13" ht="15.75" x14ac:dyDescent="0.25">
      <c r="A55" s="5" t="s">
        <v>11</v>
      </c>
      <c r="B55" s="9"/>
      <c r="C55" s="8"/>
      <c r="D55" s="9"/>
      <c r="E55" s="33">
        <f t="shared" si="1"/>
        <v>0</v>
      </c>
      <c r="F55" s="29">
        <f t="shared" si="2"/>
        <v>0</v>
      </c>
      <c r="G55" s="44">
        <f t="shared" si="3"/>
        <v>0</v>
      </c>
      <c r="H55" s="30">
        <f t="shared" si="0"/>
        <v>0</v>
      </c>
      <c r="I55" s="32">
        <f t="shared" si="4"/>
        <v>0</v>
      </c>
      <c r="J55" s="34">
        <f t="shared" si="5"/>
        <v>0</v>
      </c>
      <c r="K55" s="35">
        <f t="shared" si="6"/>
        <v>0</v>
      </c>
      <c r="L55" s="10">
        <f t="shared" si="8"/>
        <v>0</v>
      </c>
      <c r="M55" s="77" t="e">
        <f t="shared" si="7"/>
        <v>#DIV/0!</v>
      </c>
    </row>
    <row r="56" spans="1:13" ht="15.75" x14ac:dyDescent="0.25">
      <c r="A56" s="5" t="s">
        <v>12</v>
      </c>
      <c r="B56" s="9"/>
      <c r="C56" s="8"/>
      <c r="D56" s="9"/>
      <c r="E56" s="33">
        <f t="shared" si="1"/>
        <v>0</v>
      </c>
      <c r="F56" s="29">
        <f t="shared" si="2"/>
        <v>0</v>
      </c>
      <c r="G56" s="44">
        <f t="shared" si="3"/>
        <v>0</v>
      </c>
      <c r="H56" s="30">
        <f t="shared" si="0"/>
        <v>0</v>
      </c>
      <c r="I56" s="32">
        <f t="shared" si="4"/>
        <v>0</v>
      </c>
      <c r="J56" s="34">
        <f t="shared" si="5"/>
        <v>0</v>
      </c>
      <c r="K56" s="35">
        <f t="shared" si="6"/>
        <v>0</v>
      </c>
      <c r="L56" s="10">
        <f t="shared" si="8"/>
        <v>0</v>
      </c>
      <c r="M56" s="77" t="e">
        <f t="shared" si="7"/>
        <v>#DIV/0!</v>
      </c>
    </row>
    <row r="57" spans="1:13" ht="21.75" customHeight="1" x14ac:dyDescent="0.25">
      <c r="A57" s="36" t="s">
        <v>0</v>
      </c>
      <c r="B57" s="37">
        <f>SUM(B45:B56)</f>
        <v>0</v>
      </c>
      <c r="C57" s="38"/>
      <c r="D57" s="38"/>
      <c r="E57" s="39">
        <f>SUM(E45:E56)</f>
        <v>0</v>
      </c>
      <c r="F57" s="45"/>
      <c r="G57" s="46"/>
      <c r="H57" s="37"/>
      <c r="I57" s="37">
        <f>SUM(I45:I56)</f>
        <v>0</v>
      </c>
      <c r="J57" s="40">
        <f>SUM(J45:J56)</f>
        <v>0</v>
      </c>
      <c r="K57" s="41">
        <f>SUM(K45:K56)</f>
        <v>0</v>
      </c>
      <c r="L57" s="79"/>
      <c r="M57" s="10"/>
    </row>
    <row r="58" spans="1:13" ht="21.75" customHeight="1" x14ac:dyDescent="0.25">
      <c r="A58" s="47"/>
      <c r="B58" s="48"/>
      <c r="C58" s="48"/>
      <c r="D58" s="48"/>
      <c r="E58" s="48"/>
      <c r="F58" s="49"/>
      <c r="G58" s="49"/>
      <c r="H58" s="48"/>
      <c r="I58" s="48"/>
      <c r="J58" s="48"/>
      <c r="K58" s="50"/>
      <c r="L58" s="80"/>
      <c r="M58" s="51"/>
    </row>
    <row r="59" spans="1:13" ht="21.75" customHeight="1" x14ac:dyDescent="0.25">
      <c r="A59" s="47"/>
      <c r="B59" s="48"/>
      <c r="C59" s="48"/>
      <c r="D59" s="48"/>
      <c r="E59" s="48"/>
      <c r="F59" s="49"/>
      <c r="G59" s="49"/>
      <c r="H59" s="48"/>
      <c r="I59" s="48"/>
      <c r="J59" s="48"/>
      <c r="K59" s="50"/>
      <c r="L59" s="51"/>
    </row>
  </sheetData>
  <mergeCells count="31">
    <mergeCell ref="A1:A5"/>
    <mergeCell ref="B1:Q5"/>
    <mergeCell ref="R1:S1"/>
    <mergeCell ref="T1:U1"/>
    <mergeCell ref="R2:S2"/>
    <mergeCell ref="T2:U2"/>
    <mergeCell ref="R3:S3"/>
    <mergeCell ref="T3:U3"/>
    <mergeCell ref="R4:S4"/>
    <mergeCell ref="T4:U4"/>
    <mergeCell ref="R5:S5"/>
    <mergeCell ref="T5:U5"/>
    <mergeCell ref="A33:A38"/>
    <mergeCell ref="A9:A20"/>
    <mergeCell ref="A21:A32"/>
    <mergeCell ref="A7:A8"/>
    <mergeCell ref="M40:M44"/>
    <mergeCell ref="I38:L38"/>
    <mergeCell ref="G41:G42"/>
    <mergeCell ref="L40:L44"/>
    <mergeCell ref="F41:F42"/>
    <mergeCell ref="H41:H42"/>
    <mergeCell ref="I41:I44"/>
    <mergeCell ref="J42:J44"/>
    <mergeCell ref="J40:K41"/>
    <mergeCell ref="C7:E7"/>
    <mergeCell ref="A40:A44"/>
    <mergeCell ref="B40:D42"/>
    <mergeCell ref="C43:C44"/>
    <mergeCell ref="D43:D44"/>
    <mergeCell ref="B7:B8"/>
  </mergeCells>
  <pageMargins left="0.7" right="0.7" top="0.75" bottom="0.75" header="0.3" footer="0.3"/>
  <pageSetup paperSize="9" scale="32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8"/>
  <sheetViews>
    <sheetView view="pageBreakPreview" zoomScale="60" zoomScaleNormal="55" workbookViewId="0">
      <selection activeCell="N12" sqref="N12"/>
    </sheetView>
  </sheetViews>
  <sheetFormatPr defaultRowHeight="15" x14ac:dyDescent="0.25"/>
  <cols>
    <col min="1" max="4" width="12.7109375" customWidth="1"/>
    <col min="5" max="5" width="15.28515625" customWidth="1"/>
    <col min="6" max="19" width="12.7109375" customWidth="1"/>
    <col min="20" max="26" width="11.7109375" customWidth="1"/>
  </cols>
  <sheetData>
    <row r="1" spans="1:21" ht="15.75" customHeight="1" x14ac:dyDescent="0.25">
      <c r="A1" s="144"/>
      <c r="B1" s="129" t="s">
        <v>77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43"/>
      <c r="R1" s="122" t="s">
        <v>68</v>
      </c>
      <c r="S1" s="122"/>
      <c r="T1" s="123" t="s">
        <v>74</v>
      </c>
      <c r="U1" s="124"/>
    </row>
    <row r="2" spans="1:21" ht="15.75" customHeight="1" x14ac:dyDescent="0.25">
      <c r="A2" s="145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43"/>
      <c r="R2" s="122" t="s">
        <v>69</v>
      </c>
      <c r="S2" s="122"/>
      <c r="T2" s="125">
        <v>45292</v>
      </c>
      <c r="U2" s="124"/>
    </row>
    <row r="3" spans="1:21" ht="15.75" customHeight="1" x14ac:dyDescent="0.25">
      <c r="A3" s="145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43"/>
      <c r="R3" s="122" t="s">
        <v>70</v>
      </c>
      <c r="S3" s="122"/>
      <c r="T3" s="126"/>
      <c r="U3" s="126"/>
    </row>
    <row r="4" spans="1:21" ht="15.75" customHeight="1" x14ac:dyDescent="0.25">
      <c r="A4" s="145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43"/>
      <c r="R4" s="122" t="s">
        <v>71</v>
      </c>
      <c r="S4" s="122"/>
      <c r="T4" s="123"/>
      <c r="U4" s="124"/>
    </row>
    <row r="5" spans="1:21" ht="15.75" customHeight="1" x14ac:dyDescent="0.25">
      <c r="A5" s="145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43"/>
      <c r="R5" s="122" t="s">
        <v>72</v>
      </c>
      <c r="S5" s="122"/>
      <c r="T5" s="127" t="s">
        <v>73</v>
      </c>
      <c r="U5" s="128"/>
    </row>
    <row r="6" spans="1:21" ht="15.75" customHeight="1" thickBot="1" x14ac:dyDescent="0.3">
      <c r="A6" s="15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51"/>
      <c r="R6" s="138"/>
      <c r="S6" s="138"/>
      <c r="T6" s="139"/>
      <c r="U6" s="140"/>
    </row>
    <row r="7" spans="1:21" ht="20.25" customHeight="1" x14ac:dyDescent="0.25">
      <c r="A7" s="108" t="s">
        <v>55</v>
      </c>
      <c r="B7" s="119" t="s">
        <v>54</v>
      </c>
      <c r="C7" s="111" t="s">
        <v>14</v>
      </c>
      <c r="D7" s="111"/>
      <c r="E7" s="112"/>
    </row>
    <row r="8" spans="1:21" ht="24.75" customHeight="1" thickBot="1" x14ac:dyDescent="0.35">
      <c r="A8" s="109"/>
      <c r="B8" s="120"/>
      <c r="C8" s="65" t="s">
        <v>61</v>
      </c>
      <c r="D8" s="63" t="s">
        <v>62</v>
      </c>
      <c r="E8" s="64" t="s">
        <v>56</v>
      </c>
      <c r="H8" s="11"/>
      <c r="I8" t="s">
        <v>16</v>
      </c>
    </row>
    <row r="9" spans="1:21" ht="19.5" thickBot="1" x14ac:dyDescent="0.35">
      <c r="A9" s="116"/>
      <c r="B9" s="72" t="s">
        <v>1</v>
      </c>
      <c r="C9" s="66"/>
      <c r="D9" s="53"/>
      <c r="E9" s="54"/>
      <c r="H9" s="11"/>
    </row>
    <row r="10" spans="1:21" ht="18.75" x14ac:dyDescent="0.3">
      <c r="A10" s="117"/>
      <c r="B10" s="73" t="s">
        <v>2</v>
      </c>
      <c r="C10" s="67"/>
      <c r="D10" s="14"/>
      <c r="E10" s="55"/>
      <c r="H10" s="11"/>
      <c r="I10" s="3" t="s">
        <v>17</v>
      </c>
      <c r="J10" s="3"/>
    </row>
    <row r="11" spans="1:21" ht="18.75" x14ac:dyDescent="0.3">
      <c r="A11" s="117"/>
      <c r="B11" s="73" t="s">
        <v>3</v>
      </c>
      <c r="C11" s="67"/>
      <c r="D11" s="14"/>
      <c r="E11" s="55"/>
      <c r="H11" s="11"/>
      <c r="I11" t="s">
        <v>18</v>
      </c>
    </row>
    <row r="12" spans="1:21" ht="18.75" x14ac:dyDescent="0.3">
      <c r="A12" s="117"/>
      <c r="B12" s="73" t="s">
        <v>4</v>
      </c>
      <c r="C12" s="67"/>
      <c r="D12" s="14"/>
      <c r="E12" s="55"/>
      <c r="H12" s="11"/>
      <c r="I12" s="75" t="s">
        <v>19</v>
      </c>
      <c r="J12" s="75"/>
      <c r="S12" s="4"/>
      <c r="T12" s="4"/>
      <c r="U12" s="4"/>
    </row>
    <row r="13" spans="1:21" ht="18.75" x14ac:dyDescent="0.3">
      <c r="A13" s="117"/>
      <c r="B13" s="73" t="s">
        <v>5</v>
      </c>
      <c r="C13" s="67"/>
      <c r="D13" s="14"/>
      <c r="E13" s="55"/>
      <c r="H13" s="11"/>
      <c r="I13" t="s">
        <v>20</v>
      </c>
      <c r="S13" s="4"/>
      <c r="T13" s="4"/>
      <c r="U13" s="4"/>
    </row>
    <row r="14" spans="1:21" ht="18.75" x14ac:dyDescent="0.3">
      <c r="A14" s="117"/>
      <c r="B14" s="73" t="s">
        <v>6</v>
      </c>
      <c r="C14" s="67"/>
      <c r="D14" s="14"/>
      <c r="E14" s="55"/>
      <c r="H14" s="11"/>
      <c r="I14" t="s">
        <v>21</v>
      </c>
      <c r="S14" s="4"/>
      <c r="T14" s="4"/>
      <c r="U14" s="4"/>
    </row>
    <row r="15" spans="1:21" ht="19.5" thickBot="1" x14ac:dyDescent="0.35">
      <c r="A15" s="117"/>
      <c r="B15" s="73" t="s">
        <v>7</v>
      </c>
      <c r="C15" s="67"/>
      <c r="D15" s="14"/>
      <c r="E15" s="55"/>
      <c r="H15" s="11"/>
      <c r="I15" s="1" t="s">
        <v>22</v>
      </c>
      <c r="J15" s="1"/>
      <c r="S15" s="4"/>
      <c r="T15" s="4"/>
      <c r="U15" s="4"/>
    </row>
    <row r="16" spans="1:21" ht="18.75" x14ac:dyDescent="0.3">
      <c r="A16" s="117"/>
      <c r="B16" s="73" t="s">
        <v>8</v>
      </c>
      <c r="C16" s="67"/>
      <c r="D16" s="14"/>
      <c r="E16" s="55"/>
      <c r="F16" s="4"/>
      <c r="G16" s="4"/>
      <c r="H16" s="11"/>
      <c r="S16" s="4"/>
      <c r="T16" s="4"/>
      <c r="U16" s="4"/>
    </row>
    <row r="17" spans="1:21" ht="19.5" thickBot="1" x14ac:dyDescent="0.35">
      <c r="A17" s="117"/>
      <c r="B17" s="73" t="s">
        <v>9</v>
      </c>
      <c r="C17" s="67"/>
      <c r="D17" s="14"/>
      <c r="E17" s="55"/>
      <c r="H17" s="11"/>
      <c r="I17" t="s">
        <v>23</v>
      </c>
      <c r="S17" s="4"/>
      <c r="T17" s="4"/>
      <c r="U17" s="4"/>
    </row>
    <row r="18" spans="1:21" ht="18.75" x14ac:dyDescent="0.3">
      <c r="A18" s="117"/>
      <c r="B18" s="73" t="s">
        <v>10</v>
      </c>
      <c r="C18" s="67"/>
      <c r="D18" s="14"/>
      <c r="E18" s="55"/>
      <c r="H18" s="11"/>
      <c r="I18" s="2"/>
      <c r="J18" s="2" t="s">
        <v>28</v>
      </c>
      <c r="K18" s="2" t="s">
        <v>29</v>
      </c>
      <c r="L18" s="2" t="s">
        <v>30</v>
      </c>
      <c r="M18" s="2" t="s">
        <v>31</v>
      </c>
      <c r="N18" s="2" t="s">
        <v>32</v>
      </c>
      <c r="S18" s="4"/>
      <c r="T18" s="4"/>
      <c r="U18" s="4"/>
    </row>
    <row r="19" spans="1:21" ht="18.75" x14ac:dyDescent="0.3">
      <c r="A19" s="117"/>
      <c r="B19" s="73" t="s">
        <v>11</v>
      </c>
      <c r="C19" s="67"/>
      <c r="D19" s="14"/>
      <c r="E19" s="55"/>
      <c r="H19" s="11"/>
      <c r="I19" t="s">
        <v>24</v>
      </c>
      <c r="N19" s="75"/>
      <c r="S19" s="4"/>
      <c r="T19" s="4"/>
      <c r="U19" s="4"/>
    </row>
    <row r="20" spans="1:21" ht="16.5" thickBot="1" x14ac:dyDescent="0.3">
      <c r="A20" s="118"/>
      <c r="B20" s="74" t="s">
        <v>12</v>
      </c>
      <c r="C20" s="68"/>
      <c r="D20" s="56"/>
      <c r="E20" s="57"/>
      <c r="H20" s="4"/>
      <c r="I20" t="s">
        <v>25</v>
      </c>
      <c r="S20" s="4"/>
      <c r="T20" s="4"/>
      <c r="U20" s="4"/>
    </row>
    <row r="21" spans="1:21" ht="16.5" thickBot="1" x14ac:dyDescent="0.3">
      <c r="A21" s="116"/>
      <c r="B21" s="72" t="s">
        <v>1</v>
      </c>
      <c r="C21" s="69"/>
      <c r="D21" s="58"/>
      <c r="E21" s="59"/>
      <c r="H21" s="4"/>
      <c r="I21" s="1" t="s">
        <v>26</v>
      </c>
      <c r="J21" s="1"/>
      <c r="K21" s="1"/>
      <c r="L21" s="1"/>
      <c r="M21" s="1"/>
      <c r="N21" s="1"/>
      <c r="S21" s="4"/>
      <c r="T21" s="4"/>
      <c r="U21" s="4"/>
    </row>
    <row r="22" spans="1:21" ht="16.5" thickBot="1" x14ac:dyDescent="0.3">
      <c r="A22" s="117"/>
      <c r="B22" s="73" t="s">
        <v>2</v>
      </c>
      <c r="C22" s="70"/>
      <c r="D22" s="13"/>
      <c r="E22" s="60"/>
      <c r="H22" s="4"/>
      <c r="S22" s="4"/>
      <c r="T22" s="4"/>
      <c r="U22" s="4"/>
    </row>
    <row r="23" spans="1:21" ht="15.75" x14ac:dyDescent="0.25">
      <c r="A23" s="117"/>
      <c r="B23" s="73" t="s">
        <v>3</v>
      </c>
      <c r="C23" s="70"/>
      <c r="D23" s="13"/>
      <c r="E23" s="60"/>
      <c r="H23" s="4"/>
      <c r="I23" s="2"/>
      <c r="J23" s="2" t="s">
        <v>33</v>
      </c>
      <c r="K23" s="2" t="s">
        <v>21</v>
      </c>
      <c r="L23" s="2" t="s">
        <v>34</v>
      </c>
      <c r="M23" s="2" t="s">
        <v>35</v>
      </c>
      <c r="N23" s="2" t="s">
        <v>36</v>
      </c>
      <c r="O23" s="2" t="s">
        <v>37</v>
      </c>
      <c r="P23" s="2" t="s">
        <v>38</v>
      </c>
      <c r="Q23" s="2" t="s">
        <v>39</v>
      </c>
      <c r="S23" s="4"/>
      <c r="T23" s="4"/>
      <c r="U23" s="4"/>
    </row>
    <row r="24" spans="1:21" ht="15.75" x14ac:dyDescent="0.25">
      <c r="A24" s="117"/>
      <c r="B24" s="73" t="s">
        <v>4</v>
      </c>
      <c r="C24" s="70"/>
      <c r="D24" s="13"/>
      <c r="E24" s="60"/>
      <c r="H24" s="4"/>
      <c r="I24" t="s">
        <v>27</v>
      </c>
      <c r="S24" s="4"/>
      <c r="T24" s="4"/>
      <c r="U24" s="4"/>
    </row>
    <row r="25" spans="1:21" ht="15.75" x14ac:dyDescent="0.25">
      <c r="A25" s="117"/>
      <c r="B25" s="73" t="s">
        <v>5</v>
      </c>
      <c r="C25" s="70"/>
      <c r="D25" s="13"/>
      <c r="E25" s="60"/>
      <c r="H25" s="4"/>
      <c r="I25" t="s">
        <v>62</v>
      </c>
      <c r="S25" s="4"/>
      <c r="T25" s="4"/>
      <c r="U25" s="4"/>
    </row>
    <row r="26" spans="1:21" ht="16.5" thickBot="1" x14ac:dyDescent="0.3">
      <c r="A26" s="117"/>
      <c r="B26" s="73" t="s">
        <v>6</v>
      </c>
      <c r="C26" s="70"/>
      <c r="D26" s="13"/>
      <c r="E26" s="60"/>
      <c r="H26" s="4"/>
      <c r="I26" s="1" t="s">
        <v>56</v>
      </c>
      <c r="J26" s="1"/>
      <c r="K26" s="1"/>
      <c r="L26" s="1"/>
      <c r="M26" s="1"/>
      <c r="N26" s="1"/>
      <c r="O26" s="1"/>
      <c r="P26" s="1"/>
      <c r="Q26" s="1"/>
      <c r="S26" s="4"/>
      <c r="T26" s="4"/>
      <c r="U26" s="4"/>
    </row>
    <row r="27" spans="1:21" ht="15.75" x14ac:dyDescent="0.25">
      <c r="A27" s="117"/>
      <c r="B27" s="73" t="s">
        <v>7</v>
      </c>
      <c r="C27" s="70"/>
      <c r="D27" s="13"/>
      <c r="E27" s="6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.75" x14ac:dyDescent="0.25">
      <c r="A28" s="117"/>
      <c r="B28" s="73" t="s">
        <v>8</v>
      </c>
      <c r="C28" s="70"/>
      <c r="D28" s="13"/>
      <c r="E28" s="6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.75" x14ac:dyDescent="0.25">
      <c r="A29" s="117"/>
      <c r="B29" s="73" t="s">
        <v>9</v>
      </c>
      <c r="C29" s="70"/>
      <c r="D29" s="13"/>
      <c r="E29" s="6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.75" x14ac:dyDescent="0.25">
      <c r="A30" s="117"/>
      <c r="B30" s="73" t="s">
        <v>10</v>
      </c>
      <c r="C30" s="70"/>
      <c r="D30" s="13"/>
      <c r="E30" s="60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5.75" x14ac:dyDescent="0.25">
      <c r="A31" s="117"/>
      <c r="B31" s="73" t="s">
        <v>11</v>
      </c>
      <c r="C31" s="70"/>
      <c r="D31" s="13"/>
      <c r="E31" s="6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6.5" thickBot="1" x14ac:dyDescent="0.3">
      <c r="A32" s="118"/>
      <c r="B32" s="74" t="s">
        <v>12</v>
      </c>
      <c r="C32" s="71"/>
      <c r="D32" s="61"/>
      <c r="E32" s="62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13" ht="15.75" x14ac:dyDescent="0.25">
      <c r="A33" s="115"/>
      <c r="B33" s="6"/>
      <c r="C33" s="7"/>
      <c r="D33" s="4"/>
      <c r="E33" s="52"/>
      <c r="I33" s="2"/>
      <c r="J33" s="2" t="s">
        <v>33</v>
      </c>
    </row>
    <row r="34" spans="1:13" ht="15.75" x14ac:dyDescent="0.25">
      <c r="A34" s="115"/>
      <c r="B34" s="6"/>
      <c r="C34" s="7"/>
      <c r="D34" s="4"/>
      <c r="E34" s="52"/>
      <c r="I34" t="s">
        <v>27</v>
      </c>
      <c r="K34" s="4"/>
      <c r="L34" s="4"/>
    </row>
    <row r="35" spans="1:13" ht="15.75" x14ac:dyDescent="0.25">
      <c r="A35" s="115"/>
      <c r="B35" s="6"/>
      <c r="C35" s="7"/>
      <c r="D35" s="4"/>
      <c r="E35" s="52"/>
      <c r="I35" t="s">
        <v>62</v>
      </c>
      <c r="K35" s="4"/>
      <c r="L35" s="4"/>
    </row>
    <row r="36" spans="1:13" ht="16.5" thickBot="1" x14ac:dyDescent="0.3">
      <c r="A36" s="115"/>
      <c r="B36" s="6"/>
      <c r="C36" s="7"/>
      <c r="D36" s="4"/>
      <c r="E36" s="52"/>
      <c r="I36" s="1" t="s">
        <v>56</v>
      </c>
      <c r="J36" s="1"/>
      <c r="K36" s="4"/>
      <c r="L36" s="4"/>
    </row>
    <row r="37" spans="1:13" ht="18.75" x14ac:dyDescent="0.3">
      <c r="A37" s="115"/>
      <c r="B37" s="6"/>
      <c r="C37" s="7"/>
      <c r="D37" s="4"/>
      <c r="E37" s="52"/>
      <c r="I37" s="12"/>
      <c r="J37" s="12"/>
      <c r="K37" s="4"/>
      <c r="L37" s="4"/>
    </row>
    <row r="38" spans="1:13" ht="15.75" x14ac:dyDescent="0.25">
      <c r="A38" s="115"/>
      <c r="B38" s="6"/>
      <c r="C38" s="7"/>
      <c r="D38" s="4"/>
      <c r="E38" s="52"/>
      <c r="I38" s="81"/>
      <c r="J38" s="81"/>
      <c r="K38" s="81"/>
      <c r="L38" s="81"/>
    </row>
    <row r="39" spans="1:13" ht="45" x14ac:dyDescent="0.25">
      <c r="M39" s="78" t="s">
        <v>60</v>
      </c>
    </row>
    <row r="40" spans="1:13" ht="15.75" x14ac:dyDescent="0.25">
      <c r="A40" s="83" t="s">
        <v>67</v>
      </c>
      <c r="B40" s="86" t="s">
        <v>51</v>
      </c>
      <c r="C40" s="87"/>
      <c r="D40" s="88"/>
      <c r="E40" s="15"/>
      <c r="F40" s="16" t="s">
        <v>43</v>
      </c>
      <c r="G40" s="42"/>
      <c r="H40" s="17"/>
      <c r="I40" s="18"/>
      <c r="J40" s="95" t="s">
        <v>47</v>
      </c>
      <c r="K40" s="96"/>
      <c r="L40" s="83" t="s">
        <v>52</v>
      </c>
      <c r="M40" s="83" t="s">
        <v>59</v>
      </c>
    </row>
    <row r="41" spans="1:13" ht="15.75" x14ac:dyDescent="0.25">
      <c r="A41" s="84"/>
      <c r="B41" s="89"/>
      <c r="C41" s="90"/>
      <c r="D41" s="91"/>
      <c r="E41" s="19"/>
      <c r="F41" s="98" t="s">
        <v>44</v>
      </c>
      <c r="G41" s="83" t="s">
        <v>63</v>
      </c>
      <c r="H41" s="83" t="s">
        <v>58</v>
      </c>
      <c r="I41" s="100" t="s">
        <v>15</v>
      </c>
      <c r="J41" s="97"/>
      <c r="K41" s="93"/>
      <c r="L41" s="84"/>
      <c r="M41" s="84"/>
    </row>
    <row r="42" spans="1:13" ht="15.75" x14ac:dyDescent="0.25">
      <c r="A42" s="84"/>
      <c r="B42" s="92"/>
      <c r="C42" s="93"/>
      <c r="D42" s="94"/>
      <c r="E42" s="20"/>
      <c r="F42" s="99"/>
      <c r="G42" s="85"/>
      <c r="H42" s="85"/>
      <c r="I42" s="101"/>
      <c r="J42" s="98" t="s">
        <v>64</v>
      </c>
      <c r="K42" s="21" t="s">
        <v>41</v>
      </c>
      <c r="L42" s="84"/>
      <c r="M42" s="84"/>
    </row>
    <row r="43" spans="1:13" ht="15.75" x14ac:dyDescent="0.25">
      <c r="A43" s="84"/>
      <c r="B43" s="22" t="s">
        <v>65</v>
      </c>
      <c r="C43" s="106" t="s">
        <v>62</v>
      </c>
      <c r="D43" s="106" t="s">
        <v>56</v>
      </c>
      <c r="E43" s="23" t="s">
        <v>50</v>
      </c>
      <c r="F43" s="24" t="s">
        <v>42</v>
      </c>
      <c r="G43" s="43"/>
      <c r="H43" s="25"/>
      <c r="I43" s="102"/>
      <c r="J43" s="104"/>
      <c r="K43" s="26" t="s">
        <v>46</v>
      </c>
      <c r="L43" s="84"/>
      <c r="M43" s="84"/>
    </row>
    <row r="44" spans="1:13" ht="15.75" x14ac:dyDescent="0.25">
      <c r="A44" s="85"/>
      <c r="B44" s="27" t="s">
        <v>49</v>
      </c>
      <c r="C44" s="107"/>
      <c r="D44" s="107"/>
      <c r="E44" s="28">
        <v>0.03</v>
      </c>
      <c r="F44" s="29">
        <f>+J34</f>
        <v>0</v>
      </c>
      <c r="G44" s="44">
        <f>+J35</f>
        <v>0</v>
      </c>
      <c r="H44" s="30">
        <f>+J36</f>
        <v>0</v>
      </c>
      <c r="I44" s="103"/>
      <c r="J44" s="105"/>
      <c r="K44" s="31"/>
      <c r="L44" s="85"/>
      <c r="M44" s="85"/>
    </row>
    <row r="45" spans="1:13" ht="15.75" x14ac:dyDescent="0.25">
      <c r="A45" s="5" t="s">
        <v>1</v>
      </c>
      <c r="B45" s="9"/>
      <c r="C45" s="8"/>
      <c r="D45" s="9"/>
      <c r="E45" s="33"/>
      <c r="F45" s="29">
        <f t="shared" ref="F45:F56" si="0">$J$34</f>
        <v>0</v>
      </c>
      <c r="G45" s="44">
        <f>C45*$G$44</f>
        <v>0</v>
      </c>
      <c r="H45" s="30">
        <f t="shared" ref="H45:H56" si="1">D45*$J$36</f>
        <v>0</v>
      </c>
      <c r="I45" s="32">
        <f>F45+G45+H45</f>
        <v>0</v>
      </c>
      <c r="J45" s="34">
        <f>+I45-B45</f>
        <v>0</v>
      </c>
      <c r="K45" s="35">
        <f>J45*$K$44</f>
        <v>0</v>
      </c>
      <c r="L45" s="10">
        <f>J45</f>
        <v>0</v>
      </c>
      <c r="M45" s="77" t="e">
        <f>+B45/I45</f>
        <v>#DIV/0!</v>
      </c>
    </row>
    <row r="46" spans="1:13" ht="15.75" x14ac:dyDescent="0.25">
      <c r="A46" s="5" t="s">
        <v>2</v>
      </c>
      <c r="B46" s="9"/>
      <c r="C46" s="8"/>
      <c r="D46" s="9"/>
      <c r="E46" s="33"/>
      <c r="F46" s="29">
        <f t="shared" si="0"/>
        <v>0</v>
      </c>
      <c r="G46" s="44">
        <f t="shared" ref="G46:G56" si="2">C46*$G$44</f>
        <v>0</v>
      </c>
      <c r="H46" s="30">
        <f t="shared" si="1"/>
        <v>0</v>
      </c>
      <c r="I46" s="32">
        <f t="shared" ref="I46:I56" si="3">F46+G46+H46</f>
        <v>0</v>
      </c>
      <c r="J46" s="34">
        <f t="shared" ref="J46:J56" si="4">+I46-B46</f>
        <v>0</v>
      </c>
      <c r="K46" s="35">
        <f t="shared" ref="K46:K56" si="5">J46*$K$44</f>
        <v>0</v>
      </c>
      <c r="L46" s="10">
        <f>J46+L45</f>
        <v>0</v>
      </c>
      <c r="M46" s="77" t="e">
        <f t="shared" ref="M46:M56" si="6">+B46/I46</f>
        <v>#DIV/0!</v>
      </c>
    </row>
    <row r="47" spans="1:13" ht="15.75" x14ac:dyDescent="0.25">
      <c r="A47" s="5" t="s">
        <v>3</v>
      </c>
      <c r="B47" s="9"/>
      <c r="C47" s="8"/>
      <c r="D47" s="9"/>
      <c r="E47" s="33"/>
      <c r="F47" s="29">
        <f t="shared" si="0"/>
        <v>0</v>
      </c>
      <c r="G47" s="44">
        <f t="shared" si="2"/>
        <v>0</v>
      </c>
      <c r="H47" s="30">
        <f t="shared" si="1"/>
        <v>0</v>
      </c>
      <c r="I47" s="32">
        <f t="shared" si="3"/>
        <v>0</v>
      </c>
      <c r="J47" s="34">
        <f t="shared" si="4"/>
        <v>0</v>
      </c>
      <c r="K47" s="35">
        <f t="shared" si="5"/>
        <v>0</v>
      </c>
      <c r="L47" s="10">
        <f t="shared" ref="L47:L56" si="7">J47+L46</f>
        <v>0</v>
      </c>
      <c r="M47" s="77" t="e">
        <f t="shared" si="6"/>
        <v>#DIV/0!</v>
      </c>
    </row>
    <row r="48" spans="1:13" ht="15.75" x14ac:dyDescent="0.25">
      <c r="A48" s="5" t="s">
        <v>4</v>
      </c>
      <c r="B48" s="9"/>
      <c r="C48" s="8"/>
      <c r="D48" s="9"/>
      <c r="E48" s="33"/>
      <c r="F48" s="29">
        <f t="shared" si="0"/>
        <v>0</v>
      </c>
      <c r="G48" s="44">
        <f t="shared" si="2"/>
        <v>0</v>
      </c>
      <c r="H48" s="30">
        <f t="shared" si="1"/>
        <v>0</v>
      </c>
      <c r="I48" s="32">
        <f t="shared" si="3"/>
        <v>0</v>
      </c>
      <c r="J48" s="34">
        <f t="shared" si="4"/>
        <v>0</v>
      </c>
      <c r="K48" s="35">
        <f t="shared" si="5"/>
        <v>0</v>
      </c>
      <c r="L48" s="10">
        <f>J48+L47</f>
        <v>0</v>
      </c>
      <c r="M48" s="77" t="e">
        <f t="shared" si="6"/>
        <v>#DIV/0!</v>
      </c>
    </row>
    <row r="49" spans="1:13" ht="15.75" x14ac:dyDescent="0.25">
      <c r="A49" s="5" t="s">
        <v>5</v>
      </c>
      <c r="B49" s="9"/>
      <c r="C49" s="8"/>
      <c r="D49" s="9"/>
      <c r="E49" s="33"/>
      <c r="F49" s="29">
        <f t="shared" si="0"/>
        <v>0</v>
      </c>
      <c r="G49" s="44">
        <f t="shared" si="2"/>
        <v>0</v>
      </c>
      <c r="H49" s="30">
        <f t="shared" si="1"/>
        <v>0</v>
      </c>
      <c r="I49" s="32">
        <f t="shared" si="3"/>
        <v>0</v>
      </c>
      <c r="J49" s="34">
        <f t="shared" si="4"/>
        <v>0</v>
      </c>
      <c r="K49" s="35">
        <f t="shared" si="5"/>
        <v>0</v>
      </c>
      <c r="L49" s="10">
        <f t="shared" si="7"/>
        <v>0</v>
      </c>
      <c r="M49" s="77" t="e">
        <f t="shared" si="6"/>
        <v>#DIV/0!</v>
      </c>
    </row>
    <row r="50" spans="1:13" ht="15.75" x14ac:dyDescent="0.25">
      <c r="A50" s="5" t="s">
        <v>6</v>
      </c>
      <c r="B50" s="9"/>
      <c r="C50" s="8"/>
      <c r="D50" s="9"/>
      <c r="E50" s="33"/>
      <c r="F50" s="29">
        <f t="shared" si="0"/>
        <v>0</v>
      </c>
      <c r="G50" s="44">
        <f t="shared" si="2"/>
        <v>0</v>
      </c>
      <c r="H50" s="30">
        <f t="shared" si="1"/>
        <v>0</v>
      </c>
      <c r="I50" s="32">
        <f t="shared" si="3"/>
        <v>0</v>
      </c>
      <c r="J50" s="34">
        <f t="shared" si="4"/>
        <v>0</v>
      </c>
      <c r="K50" s="35">
        <f t="shared" si="5"/>
        <v>0</v>
      </c>
      <c r="L50" s="10">
        <f t="shared" si="7"/>
        <v>0</v>
      </c>
      <c r="M50" s="77" t="e">
        <f t="shared" si="6"/>
        <v>#DIV/0!</v>
      </c>
    </row>
    <row r="51" spans="1:13" ht="15.75" x14ac:dyDescent="0.25">
      <c r="A51" s="5" t="s">
        <v>7</v>
      </c>
      <c r="B51" s="9"/>
      <c r="C51" s="8"/>
      <c r="D51" s="9"/>
      <c r="E51" s="33"/>
      <c r="F51" s="29">
        <f t="shared" si="0"/>
        <v>0</v>
      </c>
      <c r="G51" s="44">
        <f t="shared" si="2"/>
        <v>0</v>
      </c>
      <c r="H51" s="30">
        <f t="shared" si="1"/>
        <v>0</v>
      </c>
      <c r="I51" s="32">
        <f t="shared" si="3"/>
        <v>0</v>
      </c>
      <c r="J51" s="34">
        <f t="shared" si="4"/>
        <v>0</v>
      </c>
      <c r="K51" s="35">
        <f t="shared" si="5"/>
        <v>0</v>
      </c>
      <c r="L51" s="10">
        <f t="shared" si="7"/>
        <v>0</v>
      </c>
      <c r="M51" s="77" t="e">
        <f t="shared" si="6"/>
        <v>#DIV/0!</v>
      </c>
    </row>
    <row r="52" spans="1:13" ht="15.75" x14ac:dyDescent="0.25">
      <c r="A52" s="5" t="s">
        <v>8</v>
      </c>
      <c r="B52" s="9"/>
      <c r="C52" s="8"/>
      <c r="D52" s="9"/>
      <c r="E52" s="33"/>
      <c r="F52" s="29">
        <f t="shared" si="0"/>
        <v>0</v>
      </c>
      <c r="G52" s="44">
        <f t="shared" si="2"/>
        <v>0</v>
      </c>
      <c r="H52" s="30">
        <f t="shared" si="1"/>
        <v>0</v>
      </c>
      <c r="I52" s="32">
        <f t="shared" si="3"/>
        <v>0</v>
      </c>
      <c r="J52" s="34">
        <f t="shared" si="4"/>
        <v>0</v>
      </c>
      <c r="K52" s="35">
        <f t="shared" si="5"/>
        <v>0</v>
      </c>
      <c r="L52" s="10">
        <f t="shared" si="7"/>
        <v>0</v>
      </c>
      <c r="M52" s="77" t="e">
        <f t="shared" si="6"/>
        <v>#DIV/0!</v>
      </c>
    </row>
    <row r="53" spans="1:13" ht="15.75" x14ac:dyDescent="0.25">
      <c r="A53" s="5" t="s">
        <v>9</v>
      </c>
      <c r="B53" s="9"/>
      <c r="C53" s="8"/>
      <c r="D53" s="9"/>
      <c r="E53" s="33"/>
      <c r="F53" s="29">
        <f t="shared" si="0"/>
        <v>0</v>
      </c>
      <c r="G53" s="44">
        <f t="shared" si="2"/>
        <v>0</v>
      </c>
      <c r="H53" s="30">
        <f t="shared" si="1"/>
        <v>0</v>
      </c>
      <c r="I53" s="32">
        <f t="shared" si="3"/>
        <v>0</v>
      </c>
      <c r="J53" s="34">
        <f t="shared" si="4"/>
        <v>0</v>
      </c>
      <c r="K53" s="35">
        <f t="shared" si="5"/>
        <v>0</v>
      </c>
      <c r="L53" s="10">
        <f t="shared" si="7"/>
        <v>0</v>
      </c>
      <c r="M53" s="77" t="e">
        <f t="shared" si="6"/>
        <v>#DIV/0!</v>
      </c>
    </row>
    <row r="54" spans="1:13" ht="15.75" x14ac:dyDescent="0.25">
      <c r="A54" s="5" t="s">
        <v>10</v>
      </c>
      <c r="B54" s="9"/>
      <c r="C54" s="8"/>
      <c r="D54" s="9"/>
      <c r="E54" s="33"/>
      <c r="F54" s="29">
        <f t="shared" si="0"/>
        <v>0</v>
      </c>
      <c r="G54" s="44">
        <f t="shared" si="2"/>
        <v>0</v>
      </c>
      <c r="H54" s="30">
        <f t="shared" si="1"/>
        <v>0</v>
      </c>
      <c r="I54" s="32">
        <f t="shared" si="3"/>
        <v>0</v>
      </c>
      <c r="J54" s="34">
        <f t="shared" si="4"/>
        <v>0</v>
      </c>
      <c r="K54" s="35">
        <f t="shared" si="5"/>
        <v>0</v>
      </c>
      <c r="L54" s="10">
        <f t="shared" si="7"/>
        <v>0</v>
      </c>
      <c r="M54" s="77" t="e">
        <f t="shared" si="6"/>
        <v>#DIV/0!</v>
      </c>
    </row>
    <row r="55" spans="1:13" ht="15.75" x14ac:dyDescent="0.25">
      <c r="A55" s="5" t="s">
        <v>11</v>
      </c>
      <c r="B55" s="9"/>
      <c r="C55" s="8"/>
      <c r="D55" s="9"/>
      <c r="E55" s="33"/>
      <c r="F55" s="29">
        <f t="shared" si="0"/>
        <v>0</v>
      </c>
      <c r="G55" s="44">
        <f t="shared" si="2"/>
        <v>0</v>
      </c>
      <c r="H55" s="30">
        <f t="shared" si="1"/>
        <v>0</v>
      </c>
      <c r="I55" s="32">
        <f t="shared" si="3"/>
        <v>0</v>
      </c>
      <c r="J55" s="34">
        <f t="shared" si="4"/>
        <v>0</v>
      </c>
      <c r="K55" s="35">
        <f t="shared" si="5"/>
        <v>0</v>
      </c>
      <c r="L55" s="10">
        <f t="shared" si="7"/>
        <v>0</v>
      </c>
      <c r="M55" s="77" t="e">
        <f t="shared" si="6"/>
        <v>#DIV/0!</v>
      </c>
    </row>
    <row r="56" spans="1:13" ht="15.75" x14ac:dyDescent="0.25">
      <c r="A56" s="5" t="s">
        <v>12</v>
      </c>
      <c r="B56" s="9"/>
      <c r="C56" s="8"/>
      <c r="D56" s="9"/>
      <c r="E56" s="33"/>
      <c r="F56" s="29">
        <f t="shared" si="0"/>
        <v>0</v>
      </c>
      <c r="G56" s="44">
        <f t="shared" si="2"/>
        <v>0</v>
      </c>
      <c r="H56" s="30">
        <f t="shared" si="1"/>
        <v>0</v>
      </c>
      <c r="I56" s="32">
        <f t="shared" si="3"/>
        <v>0</v>
      </c>
      <c r="J56" s="34">
        <f t="shared" si="4"/>
        <v>0</v>
      </c>
      <c r="K56" s="35">
        <f t="shared" si="5"/>
        <v>0</v>
      </c>
      <c r="L56" s="10">
        <f t="shared" si="7"/>
        <v>0</v>
      </c>
      <c r="M56" s="77" t="e">
        <f t="shared" si="6"/>
        <v>#DIV/0!</v>
      </c>
    </row>
    <row r="57" spans="1:13" ht="15.75" x14ac:dyDescent="0.25">
      <c r="A57" s="36" t="s">
        <v>0</v>
      </c>
      <c r="B57" s="37">
        <f>SUM(B45:B56)</f>
        <v>0</v>
      </c>
      <c r="C57" s="38"/>
      <c r="D57" s="38"/>
      <c r="E57" s="39">
        <f>SUM(E45:E56)</f>
        <v>0</v>
      </c>
      <c r="F57" s="45"/>
      <c r="G57" s="46"/>
      <c r="H57" s="37"/>
      <c r="I57" s="37">
        <f>SUM(I45:I56)</f>
        <v>0</v>
      </c>
      <c r="J57" s="40">
        <f>SUM(J45:J56)</f>
        <v>0</v>
      </c>
      <c r="K57" s="41">
        <f>SUM(K45:K56)</f>
        <v>0</v>
      </c>
      <c r="L57" s="79"/>
      <c r="M57" s="10"/>
    </row>
    <row r="58" spans="1:13" ht="15.75" x14ac:dyDescent="0.25">
      <c r="A58" s="47"/>
      <c r="B58" s="48"/>
      <c r="C58" s="48"/>
      <c r="D58" s="48"/>
      <c r="E58" s="48"/>
      <c r="F58" s="49"/>
      <c r="G58" s="49"/>
      <c r="H58" s="48"/>
      <c r="I58" s="48"/>
      <c r="J58" s="48"/>
      <c r="K58" s="50"/>
      <c r="L58" s="51"/>
    </row>
  </sheetData>
  <mergeCells count="30">
    <mergeCell ref="A1:A5"/>
    <mergeCell ref="B1:Q5"/>
    <mergeCell ref="R1:S1"/>
    <mergeCell ref="T1:U1"/>
    <mergeCell ref="R2:S2"/>
    <mergeCell ref="T2:U2"/>
    <mergeCell ref="R3:S3"/>
    <mergeCell ref="T3:U3"/>
    <mergeCell ref="R4:S4"/>
    <mergeCell ref="T4:U4"/>
    <mergeCell ref="R5:S5"/>
    <mergeCell ref="T5:U5"/>
    <mergeCell ref="C43:C44"/>
    <mergeCell ref="D43:D44"/>
    <mergeCell ref="A40:A44"/>
    <mergeCell ref="B40:D42"/>
    <mergeCell ref="J40:K41"/>
    <mergeCell ref="L40:L44"/>
    <mergeCell ref="M40:M44"/>
    <mergeCell ref="F41:F42"/>
    <mergeCell ref="G41:G42"/>
    <mergeCell ref="H41:H42"/>
    <mergeCell ref="I41:I44"/>
    <mergeCell ref="J42:J44"/>
    <mergeCell ref="A33:A38"/>
    <mergeCell ref="A7:A8"/>
    <mergeCell ref="B7:B8"/>
    <mergeCell ref="C7:E7"/>
    <mergeCell ref="A9:A20"/>
    <mergeCell ref="A21:A32"/>
  </mergeCells>
  <pageMargins left="0.7" right="0.7" top="0.75" bottom="0.75" header="0.3" footer="0.3"/>
  <pageSetup paperSize="9" scale="32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6"/>
  <sheetViews>
    <sheetView view="pageBreakPreview" zoomScale="60" zoomScaleNormal="40" workbookViewId="0">
      <selection activeCell="R1" sqref="A1:XFD5"/>
    </sheetView>
  </sheetViews>
  <sheetFormatPr defaultRowHeight="15" x14ac:dyDescent="0.25"/>
  <cols>
    <col min="1" max="4" width="12.7109375" customWidth="1"/>
    <col min="5" max="5" width="16.28515625" bestFit="1" customWidth="1"/>
    <col min="6" max="21" width="12.7109375" customWidth="1"/>
  </cols>
  <sheetData>
    <row r="1" spans="1:21" ht="15.75" customHeight="1" x14ac:dyDescent="0.25">
      <c r="A1" s="144"/>
      <c r="B1" s="129" t="s">
        <v>75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43"/>
      <c r="R1" s="122" t="s">
        <v>68</v>
      </c>
      <c r="S1" s="122"/>
      <c r="T1" s="123" t="s">
        <v>74</v>
      </c>
      <c r="U1" s="124"/>
    </row>
    <row r="2" spans="1:21" ht="15.75" customHeight="1" x14ac:dyDescent="0.25">
      <c r="A2" s="145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43"/>
      <c r="R2" s="122" t="s">
        <v>69</v>
      </c>
      <c r="S2" s="122"/>
      <c r="T2" s="125">
        <v>45292</v>
      </c>
      <c r="U2" s="124"/>
    </row>
    <row r="3" spans="1:21" ht="15.75" customHeight="1" x14ac:dyDescent="0.25">
      <c r="A3" s="145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43"/>
      <c r="R3" s="122" t="s">
        <v>70</v>
      </c>
      <c r="S3" s="122"/>
      <c r="T3" s="126"/>
      <c r="U3" s="126"/>
    </row>
    <row r="4" spans="1:21" ht="15.75" customHeight="1" x14ac:dyDescent="0.25">
      <c r="A4" s="145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43"/>
      <c r="R4" s="122" t="s">
        <v>71</v>
      </c>
      <c r="S4" s="122"/>
      <c r="T4" s="123"/>
      <c r="U4" s="124"/>
    </row>
    <row r="5" spans="1:21" ht="15.75" customHeight="1" x14ac:dyDescent="0.25">
      <c r="A5" s="145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43"/>
      <c r="R5" s="122" t="s">
        <v>72</v>
      </c>
      <c r="S5" s="122"/>
      <c r="T5" s="127" t="s">
        <v>73</v>
      </c>
      <c r="U5" s="128"/>
    </row>
    <row r="6" spans="1:21" ht="14.25" customHeight="1" x14ac:dyDescent="0.25">
      <c r="A6" s="130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3"/>
      <c r="R6" s="138"/>
      <c r="S6" s="138"/>
      <c r="T6" s="141"/>
      <c r="U6" s="142"/>
    </row>
    <row r="7" spans="1:21" ht="15.75" customHeight="1" x14ac:dyDescent="0.25">
      <c r="A7" s="130"/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5"/>
      <c r="S7" s="135"/>
      <c r="T7" s="136"/>
      <c r="U7" s="137"/>
    </row>
    <row r="8" spans="1:21" ht="15.75" customHeight="1" thickBot="1" x14ac:dyDescent="0.3">
      <c r="A8" s="134"/>
      <c r="B8" s="132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8"/>
      <c r="S8" s="138"/>
      <c r="T8" s="139"/>
      <c r="U8" s="140"/>
    </row>
    <row r="9" spans="1:21" ht="24.75" customHeight="1" x14ac:dyDescent="0.25">
      <c r="A9" s="108" t="s">
        <v>55</v>
      </c>
      <c r="B9" s="113" t="s">
        <v>54</v>
      </c>
      <c r="C9" s="111" t="s">
        <v>14</v>
      </c>
      <c r="D9" s="111"/>
      <c r="E9" s="112"/>
      <c r="I9" s="3" t="s">
        <v>17</v>
      </c>
      <c r="J9" s="3"/>
      <c r="R9" s="135"/>
      <c r="S9" s="135"/>
      <c r="T9" s="146"/>
      <c r="U9" s="147"/>
    </row>
    <row r="10" spans="1:21" ht="29.25" customHeight="1" thickBot="1" x14ac:dyDescent="0.35">
      <c r="A10" s="109"/>
      <c r="B10" s="114"/>
      <c r="C10" s="65" t="s">
        <v>61</v>
      </c>
      <c r="D10" s="63" t="s">
        <v>13</v>
      </c>
      <c r="E10" s="64" t="s">
        <v>56</v>
      </c>
      <c r="H10" s="11"/>
      <c r="I10" t="s">
        <v>18</v>
      </c>
      <c r="R10" s="135"/>
      <c r="S10" s="135"/>
      <c r="T10" s="148"/>
      <c r="U10" s="147"/>
    </row>
    <row r="11" spans="1:21" ht="18.75" x14ac:dyDescent="0.3">
      <c r="A11" s="116"/>
      <c r="B11" s="72" t="s">
        <v>1</v>
      </c>
      <c r="C11" s="66"/>
      <c r="D11" s="53"/>
      <c r="E11" s="54"/>
      <c r="H11" s="11"/>
      <c r="I11" t="s">
        <v>19</v>
      </c>
      <c r="R11" s="135"/>
      <c r="S11" s="135"/>
      <c r="T11" s="149"/>
      <c r="U11" s="149"/>
    </row>
    <row r="12" spans="1:21" ht="18.75" x14ac:dyDescent="0.3">
      <c r="A12" s="117"/>
      <c r="B12" s="73" t="s">
        <v>2</v>
      </c>
      <c r="C12" s="67"/>
      <c r="D12" s="14"/>
      <c r="E12" s="55"/>
      <c r="H12" s="11"/>
      <c r="I12" t="s">
        <v>20</v>
      </c>
      <c r="R12" s="135"/>
      <c r="S12" s="135"/>
      <c r="T12" s="146"/>
      <c r="U12" s="147"/>
    </row>
    <row r="13" spans="1:21" ht="18.75" x14ac:dyDescent="0.3">
      <c r="A13" s="117"/>
      <c r="B13" s="73" t="s">
        <v>3</v>
      </c>
      <c r="C13" s="67"/>
      <c r="D13" s="14"/>
      <c r="E13" s="55"/>
      <c r="H13" s="11"/>
      <c r="I13" t="s">
        <v>21</v>
      </c>
      <c r="R13" s="135"/>
      <c r="S13" s="135"/>
      <c r="T13" s="136"/>
      <c r="U13" s="137"/>
    </row>
    <row r="14" spans="1:21" ht="19.5" thickBot="1" x14ac:dyDescent="0.35">
      <c r="A14" s="117"/>
      <c r="B14" s="73" t="s">
        <v>4</v>
      </c>
      <c r="C14" s="67"/>
      <c r="D14" s="14"/>
      <c r="E14" s="55"/>
      <c r="H14" s="11"/>
      <c r="I14" s="1" t="s">
        <v>22</v>
      </c>
      <c r="J14" s="1"/>
      <c r="S14" s="4"/>
      <c r="T14" s="4"/>
      <c r="U14" s="4"/>
    </row>
    <row r="15" spans="1:21" ht="18.75" x14ac:dyDescent="0.3">
      <c r="A15" s="117"/>
      <c r="B15" s="73" t="s">
        <v>5</v>
      </c>
      <c r="C15" s="67"/>
      <c r="D15" s="14"/>
      <c r="E15" s="55"/>
      <c r="H15" s="11"/>
      <c r="S15" s="4"/>
      <c r="T15" s="4"/>
      <c r="U15" s="4"/>
    </row>
    <row r="16" spans="1:21" ht="19.5" thickBot="1" x14ac:dyDescent="0.35">
      <c r="A16" s="117"/>
      <c r="B16" s="73" t="s">
        <v>6</v>
      </c>
      <c r="C16" s="67"/>
      <c r="D16" s="14"/>
      <c r="E16" s="55"/>
      <c r="H16" s="11"/>
      <c r="I16" t="s">
        <v>23</v>
      </c>
      <c r="S16" s="4"/>
      <c r="T16" s="4"/>
      <c r="U16" s="4"/>
    </row>
    <row r="17" spans="1:21" ht="18.75" x14ac:dyDescent="0.3">
      <c r="A17" s="117"/>
      <c r="B17" s="73" t="s">
        <v>7</v>
      </c>
      <c r="C17" s="67"/>
      <c r="D17" s="14"/>
      <c r="E17" s="55"/>
      <c r="H17" s="11"/>
      <c r="I17" s="2"/>
      <c r="J17" s="2" t="s">
        <v>28</v>
      </c>
      <c r="K17" s="2" t="s">
        <v>29</v>
      </c>
      <c r="L17" s="2" t="s">
        <v>30</v>
      </c>
      <c r="M17" s="2" t="s">
        <v>31</v>
      </c>
      <c r="N17" s="2" t="s">
        <v>32</v>
      </c>
      <c r="S17" s="4"/>
      <c r="T17" s="4"/>
      <c r="U17" s="4"/>
    </row>
    <row r="18" spans="1:21" ht="18.75" x14ac:dyDescent="0.3">
      <c r="A18" s="117"/>
      <c r="B18" s="73" t="s">
        <v>8</v>
      </c>
      <c r="C18" s="67"/>
      <c r="D18" s="14"/>
      <c r="E18" s="55"/>
      <c r="F18" s="4"/>
      <c r="G18" s="4"/>
      <c r="H18" s="11"/>
      <c r="I18" t="s">
        <v>24</v>
      </c>
      <c r="S18" s="4"/>
      <c r="T18" s="4"/>
      <c r="U18" s="4"/>
    </row>
    <row r="19" spans="1:21" ht="18.75" x14ac:dyDescent="0.3">
      <c r="A19" s="117"/>
      <c r="B19" s="73" t="s">
        <v>9</v>
      </c>
      <c r="C19" s="67"/>
      <c r="D19" s="14"/>
      <c r="E19" s="55"/>
      <c r="H19" s="11"/>
      <c r="I19" t="s">
        <v>25</v>
      </c>
      <c r="S19" s="4"/>
      <c r="T19" s="4"/>
      <c r="U19" s="4"/>
    </row>
    <row r="20" spans="1:21" ht="19.5" thickBot="1" x14ac:dyDescent="0.35">
      <c r="A20" s="117"/>
      <c r="B20" s="73" t="s">
        <v>10</v>
      </c>
      <c r="C20" s="67"/>
      <c r="D20" s="14"/>
      <c r="E20" s="55"/>
      <c r="H20" s="11"/>
      <c r="I20" s="1" t="s">
        <v>26</v>
      </c>
      <c r="J20" s="1"/>
      <c r="K20" s="1"/>
      <c r="L20" s="1"/>
      <c r="M20" s="1"/>
      <c r="N20" s="1"/>
      <c r="S20" s="4"/>
      <c r="T20" s="4"/>
      <c r="U20" s="4"/>
    </row>
    <row r="21" spans="1:21" ht="19.5" thickBot="1" x14ac:dyDescent="0.35">
      <c r="A21" s="117"/>
      <c r="B21" s="73" t="s">
        <v>11</v>
      </c>
      <c r="C21" s="67"/>
      <c r="D21" s="14"/>
      <c r="E21" s="55"/>
      <c r="H21" s="11"/>
      <c r="S21" s="4"/>
      <c r="T21" s="4"/>
      <c r="U21" s="4"/>
    </row>
    <row r="22" spans="1:21" ht="16.5" thickBot="1" x14ac:dyDescent="0.3">
      <c r="A22" s="118"/>
      <c r="B22" s="74" t="s">
        <v>12</v>
      </c>
      <c r="C22" s="68"/>
      <c r="D22" s="56"/>
      <c r="E22" s="57"/>
      <c r="H22" s="4"/>
      <c r="I22" s="2"/>
      <c r="J22" s="2" t="s">
        <v>33</v>
      </c>
      <c r="K22" s="2" t="s">
        <v>21</v>
      </c>
      <c r="L22" s="2" t="s">
        <v>34</v>
      </c>
      <c r="M22" s="2" t="s">
        <v>35</v>
      </c>
      <c r="N22" s="2" t="s">
        <v>36</v>
      </c>
      <c r="O22" s="2" t="s">
        <v>37</v>
      </c>
      <c r="P22" s="2" t="s">
        <v>38</v>
      </c>
      <c r="Q22" s="2" t="s">
        <v>39</v>
      </c>
      <c r="S22" s="4"/>
      <c r="T22" s="4"/>
      <c r="U22" s="4"/>
    </row>
    <row r="23" spans="1:21" ht="15.75" x14ac:dyDescent="0.25">
      <c r="A23" s="116"/>
      <c r="B23" s="72" t="s">
        <v>1</v>
      </c>
      <c r="C23" s="69"/>
      <c r="D23" s="58"/>
      <c r="E23" s="59"/>
      <c r="H23" s="4"/>
      <c r="I23" t="s">
        <v>27</v>
      </c>
      <c r="S23" s="4"/>
      <c r="T23" s="4"/>
      <c r="U23" s="4"/>
    </row>
    <row r="24" spans="1:21" ht="15.75" x14ac:dyDescent="0.25">
      <c r="A24" s="117"/>
      <c r="B24" s="73" t="s">
        <v>2</v>
      </c>
      <c r="C24" s="70"/>
      <c r="D24" s="13"/>
      <c r="E24" s="60"/>
      <c r="H24" s="4"/>
      <c r="I24" t="s">
        <v>13</v>
      </c>
      <c r="S24" s="4"/>
      <c r="T24" s="4"/>
      <c r="U24" s="4"/>
    </row>
    <row r="25" spans="1:21" ht="16.5" thickBot="1" x14ac:dyDescent="0.3">
      <c r="A25" s="117"/>
      <c r="B25" s="73" t="s">
        <v>3</v>
      </c>
      <c r="C25" s="70"/>
      <c r="D25" s="13"/>
      <c r="E25" s="60"/>
      <c r="H25" s="4"/>
      <c r="I25" s="1" t="s">
        <v>56</v>
      </c>
      <c r="J25" s="1"/>
      <c r="K25" s="1"/>
      <c r="L25" s="1"/>
      <c r="M25" s="1"/>
      <c r="N25" s="1"/>
      <c r="O25" s="1"/>
      <c r="P25" s="1"/>
      <c r="Q25" s="1"/>
      <c r="S25" s="4"/>
      <c r="T25" s="4"/>
      <c r="U25" s="4"/>
    </row>
    <row r="26" spans="1:21" ht="15.75" x14ac:dyDescent="0.25">
      <c r="A26" s="117"/>
      <c r="B26" s="73" t="s">
        <v>4</v>
      </c>
      <c r="C26" s="70"/>
      <c r="D26" s="13"/>
      <c r="E26" s="6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6.5" thickBot="1" x14ac:dyDescent="0.3">
      <c r="A27" s="117"/>
      <c r="B27" s="73" t="s">
        <v>5</v>
      </c>
      <c r="C27" s="70"/>
      <c r="D27" s="13"/>
      <c r="E27" s="6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5.75" x14ac:dyDescent="0.25">
      <c r="A28" s="117"/>
      <c r="B28" s="73" t="s">
        <v>6</v>
      </c>
      <c r="C28" s="70"/>
      <c r="D28" s="13"/>
      <c r="E28" s="60"/>
      <c r="H28" s="4"/>
      <c r="I28" s="2"/>
      <c r="J28" s="2" t="s">
        <v>33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5.75" x14ac:dyDescent="0.25">
      <c r="A29" s="117"/>
      <c r="B29" s="73" t="s">
        <v>7</v>
      </c>
      <c r="C29" s="70"/>
      <c r="D29" s="13"/>
      <c r="E29" s="60"/>
      <c r="H29" s="4"/>
      <c r="I29" t="s">
        <v>27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5.75" x14ac:dyDescent="0.25">
      <c r="A30" s="117"/>
      <c r="B30" s="73" t="s">
        <v>8</v>
      </c>
      <c r="C30" s="70"/>
      <c r="D30" s="13"/>
      <c r="E30" s="60"/>
      <c r="H30" s="4"/>
      <c r="I30" t="s">
        <v>13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6.5" thickBot="1" x14ac:dyDescent="0.3">
      <c r="A31" s="117"/>
      <c r="B31" s="73" t="s">
        <v>9</v>
      </c>
      <c r="C31" s="70"/>
      <c r="D31" s="13"/>
      <c r="E31" s="60"/>
      <c r="H31" s="4"/>
      <c r="I31" s="1" t="s">
        <v>56</v>
      </c>
      <c r="J31" s="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5.75" x14ac:dyDescent="0.25">
      <c r="A32" s="117"/>
      <c r="B32" s="73" t="s">
        <v>10</v>
      </c>
      <c r="C32" s="70"/>
      <c r="D32" s="13"/>
      <c r="E32" s="6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5.75" x14ac:dyDescent="0.25">
      <c r="A33" s="117"/>
      <c r="B33" s="73" t="s">
        <v>11</v>
      </c>
      <c r="C33" s="70"/>
      <c r="D33" s="13"/>
      <c r="E33" s="6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6.5" thickBot="1" x14ac:dyDescent="0.3">
      <c r="A34" s="118"/>
      <c r="B34" s="74" t="s">
        <v>12</v>
      </c>
      <c r="C34" s="71"/>
      <c r="D34" s="61"/>
      <c r="E34" s="62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5.75" x14ac:dyDescent="0.25">
      <c r="A35" s="115"/>
      <c r="B35" s="6"/>
      <c r="C35" s="7"/>
      <c r="D35" s="4"/>
      <c r="E35" s="52"/>
      <c r="I35" s="82"/>
      <c r="J35" s="82"/>
    </row>
    <row r="36" spans="1:21" ht="15.75" x14ac:dyDescent="0.25">
      <c r="A36" s="115"/>
      <c r="B36" s="6"/>
      <c r="C36" s="7"/>
      <c r="D36" s="4"/>
      <c r="E36" s="52"/>
      <c r="I36" s="81"/>
      <c r="J36" s="81"/>
      <c r="K36" s="81"/>
      <c r="L36" s="81"/>
    </row>
    <row r="37" spans="1:21" ht="45" x14ac:dyDescent="0.25">
      <c r="M37" s="78" t="s">
        <v>60</v>
      </c>
    </row>
    <row r="38" spans="1:21" ht="15.75" x14ac:dyDescent="0.25">
      <c r="A38" s="83" t="s">
        <v>67</v>
      </c>
      <c r="B38" s="86" t="s">
        <v>51</v>
      </c>
      <c r="C38" s="87"/>
      <c r="D38" s="88"/>
      <c r="E38" s="15"/>
      <c r="F38" s="16" t="s">
        <v>43</v>
      </c>
      <c r="G38" s="42"/>
      <c r="H38" s="17"/>
      <c r="I38" s="18"/>
      <c r="J38" s="95" t="s">
        <v>47</v>
      </c>
      <c r="K38" s="96"/>
      <c r="L38" s="83" t="s">
        <v>52</v>
      </c>
      <c r="M38" s="83" t="s">
        <v>59</v>
      </c>
    </row>
    <row r="39" spans="1:21" ht="15.75" x14ac:dyDescent="0.25">
      <c r="A39" s="84"/>
      <c r="B39" s="89"/>
      <c r="C39" s="90"/>
      <c r="D39" s="91"/>
      <c r="E39" s="19"/>
      <c r="F39" s="98" t="s">
        <v>44</v>
      </c>
      <c r="G39" s="83" t="s">
        <v>57</v>
      </c>
      <c r="H39" s="83" t="s">
        <v>58</v>
      </c>
      <c r="I39" s="100" t="s">
        <v>15</v>
      </c>
      <c r="J39" s="97"/>
      <c r="K39" s="93"/>
      <c r="L39" s="84"/>
      <c r="M39" s="84"/>
    </row>
    <row r="40" spans="1:21" ht="15.75" x14ac:dyDescent="0.25">
      <c r="A40" s="84"/>
      <c r="B40" s="92"/>
      <c r="C40" s="93"/>
      <c r="D40" s="94"/>
      <c r="E40" s="20"/>
      <c r="F40" s="99"/>
      <c r="G40" s="85"/>
      <c r="H40" s="85"/>
      <c r="I40" s="101"/>
      <c r="J40" s="121" t="s">
        <v>66</v>
      </c>
      <c r="K40" s="21" t="s">
        <v>41</v>
      </c>
      <c r="L40" s="84"/>
      <c r="M40" s="84"/>
    </row>
    <row r="41" spans="1:21" ht="15.75" x14ac:dyDescent="0.25">
      <c r="A41" s="84"/>
      <c r="B41" s="22" t="s">
        <v>65</v>
      </c>
      <c r="C41" s="106" t="s">
        <v>13</v>
      </c>
      <c r="D41" s="106" t="s">
        <v>56</v>
      </c>
      <c r="E41" s="23" t="s">
        <v>50</v>
      </c>
      <c r="F41" s="24" t="s">
        <v>42</v>
      </c>
      <c r="G41" s="43"/>
      <c r="H41" s="25"/>
      <c r="I41" s="102"/>
      <c r="J41" s="104"/>
      <c r="K41" s="26" t="s">
        <v>46</v>
      </c>
      <c r="L41" s="84"/>
      <c r="M41" s="84"/>
    </row>
    <row r="42" spans="1:21" ht="15.75" x14ac:dyDescent="0.25">
      <c r="A42" s="85"/>
      <c r="B42" s="27" t="s">
        <v>49</v>
      </c>
      <c r="C42" s="107"/>
      <c r="D42" s="107"/>
      <c r="E42" s="28">
        <v>0.03</v>
      </c>
      <c r="F42" s="29">
        <f>J29</f>
        <v>0</v>
      </c>
      <c r="G42" s="44">
        <f>J30</f>
        <v>0</v>
      </c>
      <c r="H42" s="30">
        <f>J31</f>
        <v>0</v>
      </c>
      <c r="I42" s="103"/>
      <c r="J42" s="105"/>
      <c r="K42" s="31"/>
      <c r="L42" s="85"/>
      <c r="M42" s="85"/>
    </row>
    <row r="43" spans="1:21" ht="15.75" x14ac:dyDescent="0.25">
      <c r="A43" s="5" t="s">
        <v>1</v>
      </c>
      <c r="B43" s="9"/>
      <c r="C43" s="8"/>
      <c r="D43" s="9"/>
      <c r="E43" s="33">
        <f>+I43*0.97</f>
        <v>0</v>
      </c>
      <c r="F43" s="29">
        <f>$J$29</f>
        <v>0</v>
      </c>
      <c r="G43" s="44">
        <f>C43*$G$42</f>
        <v>0</v>
      </c>
      <c r="H43" s="30">
        <f>D43*$J$31</f>
        <v>0</v>
      </c>
      <c r="I43" s="32">
        <f>F43+G43+H43</f>
        <v>0</v>
      </c>
      <c r="J43" s="34">
        <f>+I43-B43</f>
        <v>0</v>
      </c>
      <c r="K43" s="35">
        <f>J43*$K$42</f>
        <v>0</v>
      </c>
      <c r="L43" s="10">
        <f>J43</f>
        <v>0</v>
      </c>
      <c r="M43" s="77" t="e">
        <f>+B43/I43</f>
        <v>#DIV/0!</v>
      </c>
    </row>
    <row r="44" spans="1:21" ht="15.75" x14ac:dyDescent="0.25">
      <c r="A44" s="5" t="s">
        <v>2</v>
      </c>
      <c r="B44" s="9"/>
      <c r="C44" s="8"/>
      <c r="D44" s="9"/>
      <c r="E44" s="33">
        <f t="shared" ref="E44:E54" si="0">+I44*0.97</f>
        <v>0</v>
      </c>
      <c r="F44" s="29">
        <f t="shared" ref="F44:F54" si="1">$J$29</f>
        <v>0</v>
      </c>
      <c r="G44" s="44">
        <f t="shared" ref="G44:G54" si="2">C44*$G$42</f>
        <v>0</v>
      </c>
      <c r="H44" s="30">
        <f t="shared" ref="H44:H54" si="3">D44*$J$31</f>
        <v>0</v>
      </c>
      <c r="I44" s="32">
        <f t="shared" ref="I44:I54" si="4">F44+G44+H44</f>
        <v>0</v>
      </c>
      <c r="J44" s="34">
        <f t="shared" ref="J44:J54" si="5">+I44-B44</f>
        <v>0</v>
      </c>
      <c r="K44" s="35">
        <f t="shared" ref="K44:K54" si="6">J44*$K$42</f>
        <v>0</v>
      </c>
      <c r="L44" s="10">
        <f>J44+L43</f>
        <v>0</v>
      </c>
      <c r="M44" s="77" t="e">
        <f t="shared" ref="M44:M54" si="7">+B44/I44</f>
        <v>#DIV/0!</v>
      </c>
    </row>
    <row r="45" spans="1:21" ht="15.75" x14ac:dyDescent="0.25">
      <c r="A45" s="5" t="s">
        <v>3</v>
      </c>
      <c r="B45" s="9"/>
      <c r="C45" s="8"/>
      <c r="D45" s="9"/>
      <c r="E45" s="33">
        <f t="shared" si="0"/>
        <v>0</v>
      </c>
      <c r="F45" s="29">
        <f t="shared" si="1"/>
        <v>0</v>
      </c>
      <c r="G45" s="44">
        <f t="shared" si="2"/>
        <v>0</v>
      </c>
      <c r="H45" s="30">
        <f t="shared" si="3"/>
        <v>0</v>
      </c>
      <c r="I45" s="32">
        <f t="shared" si="4"/>
        <v>0</v>
      </c>
      <c r="J45" s="34">
        <f t="shared" si="5"/>
        <v>0</v>
      </c>
      <c r="K45" s="35">
        <f t="shared" si="6"/>
        <v>0</v>
      </c>
      <c r="L45" s="10">
        <f t="shared" ref="L45:L54" si="8">J45+L44</f>
        <v>0</v>
      </c>
      <c r="M45" s="77" t="e">
        <f t="shared" si="7"/>
        <v>#DIV/0!</v>
      </c>
    </row>
    <row r="46" spans="1:21" ht="15.75" x14ac:dyDescent="0.25">
      <c r="A46" s="5" t="s">
        <v>4</v>
      </c>
      <c r="B46" s="9"/>
      <c r="C46" s="8"/>
      <c r="D46" s="9"/>
      <c r="E46" s="33">
        <f t="shared" si="0"/>
        <v>0</v>
      </c>
      <c r="F46" s="29">
        <f t="shared" si="1"/>
        <v>0</v>
      </c>
      <c r="G46" s="44">
        <f t="shared" si="2"/>
        <v>0</v>
      </c>
      <c r="H46" s="30">
        <f t="shared" si="3"/>
        <v>0</v>
      </c>
      <c r="I46" s="32">
        <f t="shared" si="4"/>
        <v>0</v>
      </c>
      <c r="J46" s="34">
        <f t="shared" si="5"/>
        <v>0</v>
      </c>
      <c r="K46" s="35">
        <f t="shared" si="6"/>
        <v>0</v>
      </c>
      <c r="L46" s="10">
        <f>J46+L45</f>
        <v>0</v>
      </c>
      <c r="M46" s="77" t="e">
        <f t="shared" si="7"/>
        <v>#DIV/0!</v>
      </c>
    </row>
    <row r="47" spans="1:21" ht="15.75" x14ac:dyDescent="0.25">
      <c r="A47" s="5" t="s">
        <v>5</v>
      </c>
      <c r="B47" s="9"/>
      <c r="C47" s="8"/>
      <c r="D47" s="9"/>
      <c r="E47" s="33">
        <f t="shared" si="0"/>
        <v>0</v>
      </c>
      <c r="F47" s="29">
        <f t="shared" si="1"/>
        <v>0</v>
      </c>
      <c r="G47" s="44">
        <f t="shared" si="2"/>
        <v>0</v>
      </c>
      <c r="H47" s="30">
        <f t="shared" si="3"/>
        <v>0</v>
      </c>
      <c r="I47" s="32">
        <f t="shared" si="4"/>
        <v>0</v>
      </c>
      <c r="J47" s="34">
        <f t="shared" si="5"/>
        <v>0</v>
      </c>
      <c r="K47" s="35">
        <f t="shared" si="6"/>
        <v>0</v>
      </c>
      <c r="L47" s="10">
        <f t="shared" si="8"/>
        <v>0</v>
      </c>
      <c r="M47" s="77" t="e">
        <f t="shared" si="7"/>
        <v>#DIV/0!</v>
      </c>
    </row>
    <row r="48" spans="1:21" ht="15.75" x14ac:dyDescent="0.25">
      <c r="A48" s="5" t="s">
        <v>6</v>
      </c>
      <c r="B48" s="9"/>
      <c r="C48" s="8"/>
      <c r="D48" s="9"/>
      <c r="E48" s="33">
        <f t="shared" si="0"/>
        <v>0</v>
      </c>
      <c r="F48" s="29">
        <f t="shared" si="1"/>
        <v>0</v>
      </c>
      <c r="G48" s="44">
        <f t="shared" si="2"/>
        <v>0</v>
      </c>
      <c r="H48" s="30">
        <f t="shared" si="3"/>
        <v>0</v>
      </c>
      <c r="I48" s="32">
        <f t="shared" si="4"/>
        <v>0</v>
      </c>
      <c r="J48" s="34">
        <f t="shared" si="5"/>
        <v>0</v>
      </c>
      <c r="K48" s="35">
        <f t="shared" si="6"/>
        <v>0</v>
      </c>
      <c r="L48" s="10">
        <f t="shared" si="8"/>
        <v>0</v>
      </c>
      <c r="M48" s="77" t="e">
        <f t="shared" si="7"/>
        <v>#DIV/0!</v>
      </c>
    </row>
    <row r="49" spans="1:13" ht="15.75" x14ac:dyDescent="0.25">
      <c r="A49" s="5" t="s">
        <v>7</v>
      </c>
      <c r="B49" s="9"/>
      <c r="C49" s="8"/>
      <c r="D49" s="9"/>
      <c r="E49" s="33">
        <f t="shared" si="0"/>
        <v>0</v>
      </c>
      <c r="F49" s="29">
        <f t="shared" si="1"/>
        <v>0</v>
      </c>
      <c r="G49" s="44">
        <f t="shared" si="2"/>
        <v>0</v>
      </c>
      <c r="H49" s="30">
        <f t="shared" si="3"/>
        <v>0</v>
      </c>
      <c r="I49" s="32">
        <f t="shared" si="4"/>
        <v>0</v>
      </c>
      <c r="J49" s="34">
        <f t="shared" si="5"/>
        <v>0</v>
      </c>
      <c r="K49" s="35">
        <f t="shared" si="6"/>
        <v>0</v>
      </c>
      <c r="L49" s="10">
        <f t="shared" si="8"/>
        <v>0</v>
      </c>
      <c r="M49" s="77" t="e">
        <f t="shared" si="7"/>
        <v>#DIV/0!</v>
      </c>
    </row>
    <row r="50" spans="1:13" ht="15.75" x14ac:dyDescent="0.25">
      <c r="A50" s="5" t="s">
        <v>8</v>
      </c>
      <c r="B50" s="9"/>
      <c r="C50" s="8"/>
      <c r="D50" s="9"/>
      <c r="E50" s="33">
        <f t="shared" si="0"/>
        <v>0</v>
      </c>
      <c r="F50" s="29">
        <f t="shared" si="1"/>
        <v>0</v>
      </c>
      <c r="G50" s="44">
        <f t="shared" si="2"/>
        <v>0</v>
      </c>
      <c r="H50" s="30">
        <f t="shared" si="3"/>
        <v>0</v>
      </c>
      <c r="I50" s="32">
        <f t="shared" si="4"/>
        <v>0</v>
      </c>
      <c r="J50" s="34">
        <f t="shared" si="5"/>
        <v>0</v>
      </c>
      <c r="K50" s="35">
        <f t="shared" si="6"/>
        <v>0</v>
      </c>
      <c r="L50" s="10">
        <f t="shared" si="8"/>
        <v>0</v>
      </c>
      <c r="M50" s="77" t="e">
        <f t="shared" si="7"/>
        <v>#DIV/0!</v>
      </c>
    </row>
    <row r="51" spans="1:13" ht="15.75" x14ac:dyDescent="0.25">
      <c r="A51" s="5" t="s">
        <v>9</v>
      </c>
      <c r="B51" s="9"/>
      <c r="C51" s="8"/>
      <c r="D51" s="9"/>
      <c r="E51" s="33">
        <f t="shared" si="0"/>
        <v>0</v>
      </c>
      <c r="F51" s="29">
        <f t="shared" si="1"/>
        <v>0</v>
      </c>
      <c r="G51" s="44">
        <f t="shared" si="2"/>
        <v>0</v>
      </c>
      <c r="H51" s="30">
        <f t="shared" si="3"/>
        <v>0</v>
      </c>
      <c r="I51" s="32">
        <f t="shared" si="4"/>
        <v>0</v>
      </c>
      <c r="J51" s="34">
        <f t="shared" si="5"/>
        <v>0</v>
      </c>
      <c r="K51" s="35">
        <f t="shared" si="6"/>
        <v>0</v>
      </c>
      <c r="L51" s="10">
        <f t="shared" si="8"/>
        <v>0</v>
      </c>
      <c r="M51" s="77" t="e">
        <f t="shared" si="7"/>
        <v>#DIV/0!</v>
      </c>
    </row>
    <row r="52" spans="1:13" ht="15.75" x14ac:dyDescent="0.25">
      <c r="A52" s="5" t="s">
        <v>10</v>
      </c>
      <c r="B52" s="9"/>
      <c r="C52" s="8"/>
      <c r="D52" s="9"/>
      <c r="E52" s="33">
        <f t="shared" si="0"/>
        <v>0</v>
      </c>
      <c r="F52" s="29">
        <f t="shared" si="1"/>
        <v>0</v>
      </c>
      <c r="G52" s="44">
        <f t="shared" si="2"/>
        <v>0</v>
      </c>
      <c r="H52" s="30">
        <f t="shared" si="3"/>
        <v>0</v>
      </c>
      <c r="I52" s="32">
        <f t="shared" si="4"/>
        <v>0</v>
      </c>
      <c r="J52" s="34">
        <f t="shared" si="5"/>
        <v>0</v>
      </c>
      <c r="K52" s="35">
        <f t="shared" si="6"/>
        <v>0</v>
      </c>
      <c r="L52" s="10">
        <f t="shared" si="8"/>
        <v>0</v>
      </c>
      <c r="M52" s="77" t="e">
        <f t="shared" si="7"/>
        <v>#DIV/0!</v>
      </c>
    </row>
    <row r="53" spans="1:13" ht="15.75" x14ac:dyDescent="0.25">
      <c r="A53" s="5" t="s">
        <v>11</v>
      </c>
      <c r="B53" s="9"/>
      <c r="C53" s="8"/>
      <c r="D53" s="9"/>
      <c r="E53" s="33">
        <f t="shared" si="0"/>
        <v>0</v>
      </c>
      <c r="F53" s="29">
        <f t="shared" si="1"/>
        <v>0</v>
      </c>
      <c r="G53" s="44">
        <f t="shared" si="2"/>
        <v>0</v>
      </c>
      <c r="H53" s="30">
        <f t="shared" si="3"/>
        <v>0</v>
      </c>
      <c r="I53" s="32">
        <f t="shared" si="4"/>
        <v>0</v>
      </c>
      <c r="J53" s="34">
        <f t="shared" si="5"/>
        <v>0</v>
      </c>
      <c r="K53" s="35">
        <f t="shared" si="6"/>
        <v>0</v>
      </c>
      <c r="L53" s="10">
        <f t="shared" si="8"/>
        <v>0</v>
      </c>
      <c r="M53" s="77" t="e">
        <f t="shared" si="7"/>
        <v>#DIV/0!</v>
      </c>
    </row>
    <row r="54" spans="1:13" ht="15.75" x14ac:dyDescent="0.25">
      <c r="A54" s="5" t="s">
        <v>12</v>
      </c>
      <c r="B54" s="9"/>
      <c r="C54" s="8"/>
      <c r="D54" s="9"/>
      <c r="E54" s="33">
        <f t="shared" si="0"/>
        <v>0</v>
      </c>
      <c r="F54" s="29">
        <f t="shared" si="1"/>
        <v>0</v>
      </c>
      <c r="G54" s="44">
        <f t="shared" si="2"/>
        <v>0</v>
      </c>
      <c r="H54" s="30">
        <f t="shared" si="3"/>
        <v>0</v>
      </c>
      <c r="I54" s="32">
        <f t="shared" si="4"/>
        <v>0</v>
      </c>
      <c r="J54" s="34">
        <f t="shared" si="5"/>
        <v>0</v>
      </c>
      <c r="K54" s="35">
        <f t="shared" si="6"/>
        <v>0</v>
      </c>
      <c r="L54" s="10">
        <f t="shared" si="8"/>
        <v>0</v>
      </c>
      <c r="M54" s="77" t="e">
        <f t="shared" si="7"/>
        <v>#DIV/0!</v>
      </c>
    </row>
    <row r="55" spans="1:13" ht="15.75" x14ac:dyDescent="0.25">
      <c r="A55" s="36" t="s">
        <v>0</v>
      </c>
      <c r="B55" s="37">
        <f>SUM(B43:B54)</f>
        <v>0</v>
      </c>
      <c r="C55" s="38"/>
      <c r="D55" s="38"/>
      <c r="E55" s="39">
        <f>SUM(E43:E54)</f>
        <v>0</v>
      </c>
      <c r="F55" s="45"/>
      <c r="G55" s="46"/>
      <c r="H55" s="37"/>
      <c r="I55" s="37">
        <f>SUM(I43:I54)</f>
        <v>0</v>
      </c>
      <c r="J55" s="40">
        <f>SUM(J43:J54)</f>
        <v>0</v>
      </c>
      <c r="K55" s="41">
        <f>SUM(K43:K54)</f>
        <v>0</v>
      </c>
      <c r="L55" s="79"/>
      <c r="M55" s="10"/>
    </row>
    <row r="56" spans="1:13" ht="15.75" x14ac:dyDescent="0.25">
      <c r="A56" s="47"/>
      <c r="B56" s="48"/>
      <c r="C56" s="48"/>
      <c r="D56" s="48"/>
      <c r="E56" s="48"/>
      <c r="F56" s="49"/>
      <c r="G56" s="49"/>
      <c r="H56" s="48"/>
      <c r="I56" s="48"/>
      <c r="J56" s="48"/>
      <c r="K56" s="50"/>
      <c r="L56" s="51"/>
    </row>
  </sheetData>
  <mergeCells count="42">
    <mergeCell ref="R5:S5"/>
    <mergeCell ref="T5:U5"/>
    <mergeCell ref="B1:Q5"/>
    <mergeCell ref="A1:A5"/>
    <mergeCell ref="R4:S4"/>
    <mergeCell ref="T4:U4"/>
    <mergeCell ref="R7:S7"/>
    <mergeCell ref="T7:U7"/>
    <mergeCell ref="R1:S1"/>
    <mergeCell ref="T1:U1"/>
    <mergeCell ref="R2:S2"/>
    <mergeCell ref="T2:U2"/>
    <mergeCell ref="R3:S3"/>
    <mergeCell ref="T3:U3"/>
    <mergeCell ref="R12:S12"/>
    <mergeCell ref="T12:U12"/>
    <mergeCell ref="R13:S13"/>
    <mergeCell ref="T13:U13"/>
    <mergeCell ref="R9:S9"/>
    <mergeCell ref="T9:U9"/>
    <mergeCell ref="R10:S10"/>
    <mergeCell ref="T10:U10"/>
    <mergeCell ref="R11:S11"/>
    <mergeCell ref="T11:U11"/>
    <mergeCell ref="C41:C42"/>
    <mergeCell ref="D41:D42"/>
    <mergeCell ref="A38:A42"/>
    <mergeCell ref="B38:D40"/>
    <mergeCell ref="J38:K39"/>
    <mergeCell ref="L38:L42"/>
    <mergeCell ref="M38:M42"/>
    <mergeCell ref="F39:F40"/>
    <mergeCell ref="G39:G40"/>
    <mergeCell ref="H39:H40"/>
    <mergeCell ref="I39:I42"/>
    <mergeCell ref="J40:J42"/>
    <mergeCell ref="A35:A36"/>
    <mergeCell ref="A9:A10"/>
    <mergeCell ref="B9:B10"/>
    <mergeCell ref="C9:E9"/>
    <mergeCell ref="A11:A22"/>
    <mergeCell ref="A23:A34"/>
  </mergeCells>
  <pageMargins left="0.7" right="0.7" top="0.75" bottom="0.75" header="0.3" footer="0.3"/>
  <pageSetup paperSize="9" scale="3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Sayfa6</vt:lpstr>
      <vt:lpstr>Doğalgaz</vt:lpstr>
      <vt:lpstr>Elektrik1</vt:lpstr>
      <vt:lpstr>Elektrik2</vt:lpstr>
      <vt:lpstr>Doğalgaz!Yazdırma_Alanı</vt:lpstr>
      <vt:lpstr>Elektrik2!Yazdırma_Alanı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2024-01-26T07:39:21Z</dcterms:modified>
</cp:coreProperties>
</file>